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OCCC_qtUO3200\ARXIU\M0234 CC-KYOTO\Emissions_Inventaris\CATALUNYA\Emissions TOTALS\Inventaris Oficials\6 SECTORS_IPCC (abans 7)\Inventaris publicats OCCC\"/>
    </mc:Choice>
  </mc:AlternateContent>
  <bookViews>
    <workbookView xWindow="120" yWindow="80" windowWidth="21210" windowHeight="8900" activeTab="1"/>
  </bookViews>
  <sheets>
    <sheet name="Evolució Emissions 1990-2021" sheetId="39" r:id="rId1"/>
    <sheet name="Catalunya Sèrie 1990_2021" sheetId="38" r:id="rId2"/>
    <sheet name="Catalunya 2021" sheetId="37" r:id="rId3"/>
    <sheet name="Catalunya 2020" sheetId="34" r:id="rId4"/>
    <sheet name="Catalunya 2019" sheetId="31" r:id="rId5"/>
    <sheet name="Catalunya 2018" sheetId="30" r:id="rId6"/>
    <sheet name="Catalunya 2017" sheetId="29" r:id="rId7"/>
    <sheet name="Catalunya 2016" sheetId="28" r:id="rId8"/>
    <sheet name="Catalunya 2015" sheetId="27" r:id="rId9"/>
    <sheet name="Catalunya 2014" sheetId="26" r:id="rId10"/>
    <sheet name="Catalunya 2013" sheetId="25" r:id="rId11"/>
    <sheet name="Catalunya 2012" sheetId="23" r:id="rId12"/>
    <sheet name="Catalunya 2011" sheetId="22" r:id="rId13"/>
    <sheet name="Catalunya 2010" sheetId="21" r:id="rId14"/>
    <sheet name="Catalunya 2009" sheetId="20" r:id="rId15"/>
    <sheet name="Catalunya 2008" sheetId="19" r:id="rId16"/>
    <sheet name="Catalunya 2007" sheetId="18" r:id="rId17"/>
    <sheet name="Catalunya 2006" sheetId="17" r:id="rId18"/>
    <sheet name="Catalunya 2005" sheetId="16" r:id="rId19"/>
    <sheet name="Catalunya 2004" sheetId="15" r:id="rId20"/>
    <sheet name="Catalunya 2003" sheetId="14" r:id="rId21"/>
    <sheet name="Catalunya 2002" sheetId="13" r:id="rId22"/>
    <sheet name="Catalunya 2001" sheetId="12" r:id="rId23"/>
    <sheet name="Catalunya 2000" sheetId="11" r:id="rId24"/>
    <sheet name="Catalunya 1999" sheetId="10" r:id="rId25"/>
    <sheet name="Catalunya 1998" sheetId="9" r:id="rId26"/>
    <sheet name="Catalunya 1997" sheetId="8" r:id="rId27"/>
    <sheet name="Catalunya 1996" sheetId="7" r:id="rId28"/>
    <sheet name="Catalunya 1995" sheetId="6" r:id="rId29"/>
    <sheet name="Catalunya 1994" sheetId="5" r:id="rId30"/>
    <sheet name="Catalunya 1993" sheetId="4" r:id="rId31"/>
    <sheet name="Catalunya 1992" sheetId="3" r:id="rId32"/>
    <sheet name="Catalunya 1991" sheetId="2" r:id="rId33"/>
    <sheet name="Catalunya 1990" sheetId="1" r:id="rId34"/>
  </sheets>
  <definedNames>
    <definedName name="_xlnm.Print_Area" localSheetId="0">'Evolució Emissions 1990-2021'!$A$2:$AK$21</definedName>
    <definedName name="Excel_BuiltIn_Print_Area_16">#REF!</definedName>
  </definedNames>
  <calcPr calcId="162913"/>
  <fileRecoveryPr repairLoad="1"/>
</workbook>
</file>

<file path=xl/calcChain.xml><?xml version="1.0" encoding="utf-8"?>
<calcChain xmlns="http://schemas.openxmlformats.org/spreadsheetml/2006/main">
  <c r="AK7" i="39" l="1"/>
  <c r="AK8" i="39"/>
  <c r="AK9" i="39"/>
  <c r="AK10" i="39"/>
  <c r="AK11" i="39"/>
  <c r="AK12" i="39"/>
  <c r="AK13" i="39"/>
  <c r="AK15" i="39"/>
  <c r="AK16" i="39"/>
  <c r="AK17" i="39"/>
  <c r="AK19" i="39"/>
  <c r="AK20" i="39"/>
  <c r="AK6" i="39"/>
  <c r="C7" i="38" l="1"/>
  <c r="D7" i="38"/>
  <c r="E7" i="38"/>
  <c r="F7" i="38"/>
  <c r="G7" i="38"/>
  <c r="H7" i="38"/>
  <c r="I7" i="38"/>
  <c r="J7" i="38"/>
  <c r="K7" i="38"/>
  <c r="L7" i="38"/>
  <c r="M7" i="38"/>
  <c r="N7" i="38"/>
  <c r="O7" i="38"/>
  <c r="P7" i="38"/>
  <c r="Q7" i="38"/>
  <c r="R7" i="38"/>
  <c r="S7" i="38"/>
  <c r="T7" i="38"/>
  <c r="U7" i="38"/>
  <c r="V7" i="38"/>
  <c r="W7" i="38"/>
  <c r="X7" i="38"/>
  <c r="Y7" i="38"/>
  <c r="Z7" i="38"/>
  <c r="AA7" i="38"/>
  <c r="AB7" i="38"/>
  <c r="AC7" i="38"/>
  <c r="AD7" i="38"/>
  <c r="AE7" i="38"/>
  <c r="AF7" i="38"/>
  <c r="AG7" i="38"/>
  <c r="B7" i="38"/>
  <c r="H38" i="37"/>
  <c r="H39" i="37"/>
  <c r="H40" i="37"/>
  <c r="H41" i="37"/>
  <c r="H42" i="37"/>
  <c r="H43" i="37"/>
  <c r="H44" i="37"/>
  <c r="H45" i="37"/>
  <c r="H46" i="37"/>
  <c r="B37" i="37"/>
  <c r="C37" i="37"/>
  <c r="D37" i="37"/>
  <c r="H37" i="37" l="1"/>
  <c r="AJ7" i="39" l="1"/>
  <c r="AJ8" i="39"/>
  <c r="AJ9" i="39"/>
  <c r="AJ10" i="39"/>
  <c r="AJ11" i="39"/>
  <c r="AJ12" i="39"/>
  <c r="AJ13" i="39"/>
  <c r="AJ14" i="39"/>
  <c r="AJ15" i="39"/>
  <c r="AJ16" i="39"/>
  <c r="AJ17" i="39"/>
  <c r="AJ18" i="39"/>
  <c r="AJ19" i="39"/>
  <c r="AJ20" i="39"/>
  <c r="AJ6" i="39"/>
  <c r="E5" i="39"/>
  <c r="F5" i="39" s="1"/>
  <c r="G5" i="39" s="1"/>
  <c r="H5" i="39" s="1"/>
  <c r="I5" i="39" s="1"/>
  <c r="J5" i="39" s="1"/>
  <c r="K5" i="39" s="1"/>
  <c r="L5" i="39" s="1"/>
  <c r="M5" i="39" s="1"/>
  <c r="N5" i="39" s="1"/>
  <c r="O5" i="39" s="1"/>
  <c r="P5" i="39" s="1"/>
  <c r="Q5" i="39" s="1"/>
  <c r="R5" i="39" s="1"/>
  <c r="H53" i="1"/>
  <c r="H52" i="1"/>
  <c r="H51" i="1"/>
  <c r="H50" i="1"/>
  <c r="H49" i="1"/>
  <c r="H48" i="1"/>
  <c r="D47" i="1"/>
  <c r="H47" i="1" s="1"/>
  <c r="C47" i="1"/>
  <c r="B47" i="1"/>
  <c r="H46" i="1"/>
  <c r="H45" i="1"/>
  <c r="H44" i="1"/>
  <c r="H43" i="1"/>
  <c r="H42" i="1"/>
  <c r="H41" i="1"/>
  <c r="H40" i="1"/>
  <c r="H39" i="1"/>
  <c r="H38" i="1"/>
  <c r="D37" i="1"/>
  <c r="C37" i="1"/>
  <c r="B37" i="1"/>
  <c r="H36" i="1"/>
  <c r="H35" i="1"/>
  <c r="H34" i="1"/>
  <c r="H33" i="1"/>
  <c r="H32" i="1"/>
  <c r="H31" i="1"/>
  <c r="H30" i="1"/>
  <c r="H29" i="1"/>
  <c r="H28" i="1"/>
  <c r="D27" i="1"/>
  <c r="C27" i="1"/>
  <c r="B27" i="1"/>
  <c r="H26" i="1"/>
  <c r="H25" i="1"/>
  <c r="H24" i="1"/>
  <c r="H23" i="1"/>
  <c r="H22" i="1"/>
  <c r="H21" i="1"/>
  <c r="H20" i="1"/>
  <c r="H19" i="1"/>
  <c r="G18" i="1"/>
  <c r="G7" i="1" s="1"/>
  <c r="F18" i="1"/>
  <c r="F7" i="1" s="1"/>
  <c r="E18" i="1"/>
  <c r="E7" i="1" s="1"/>
  <c r="D18" i="1"/>
  <c r="C18" i="1"/>
  <c r="B18" i="1"/>
  <c r="H17" i="1"/>
  <c r="H16" i="1"/>
  <c r="D15" i="1"/>
  <c r="C15" i="1"/>
  <c r="C8" i="1" s="1"/>
  <c r="C7" i="1" s="1"/>
  <c r="B15" i="1"/>
  <c r="H14" i="1"/>
  <c r="H13" i="1"/>
  <c r="H12" i="1"/>
  <c r="H11" i="1"/>
  <c r="H10" i="1"/>
  <c r="D9" i="1"/>
  <c r="C9" i="1"/>
  <c r="B9" i="1"/>
  <c r="B8" i="1" s="1"/>
  <c r="H53" i="2"/>
  <c r="H52" i="2"/>
  <c r="H51" i="2"/>
  <c r="H50" i="2"/>
  <c r="H49" i="2"/>
  <c r="H48" i="2"/>
  <c r="D47" i="2"/>
  <c r="C47" i="2"/>
  <c r="B47" i="2"/>
  <c r="H47" i="2" s="1"/>
  <c r="H46" i="2"/>
  <c r="H45" i="2"/>
  <c r="H44" i="2"/>
  <c r="H43" i="2"/>
  <c r="H42" i="2"/>
  <c r="H41" i="2"/>
  <c r="H40" i="2"/>
  <c r="H39" i="2"/>
  <c r="H38" i="2"/>
  <c r="D37" i="2"/>
  <c r="C37" i="2"/>
  <c r="B37" i="2"/>
  <c r="H36" i="2"/>
  <c r="H35" i="2"/>
  <c r="H34" i="2"/>
  <c r="H33" i="2"/>
  <c r="H32" i="2"/>
  <c r="H31" i="2"/>
  <c r="H30" i="2"/>
  <c r="H29" i="2"/>
  <c r="H28" i="2"/>
  <c r="D27" i="2"/>
  <c r="C27" i="2"/>
  <c r="H27" i="2" s="1"/>
  <c r="B27" i="2"/>
  <c r="H26" i="2"/>
  <c r="H25" i="2"/>
  <c r="H24" i="2"/>
  <c r="H23" i="2"/>
  <c r="H22" i="2"/>
  <c r="H21" i="2"/>
  <c r="H20" i="2"/>
  <c r="H19" i="2"/>
  <c r="G18" i="2"/>
  <c r="G7" i="2" s="1"/>
  <c r="F18" i="2"/>
  <c r="F7" i="2" s="1"/>
  <c r="E18" i="2"/>
  <c r="E7" i="2" s="1"/>
  <c r="D18" i="2"/>
  <c r="C18" i="2"/>
  <c r="B18" i="2"/>
  <c r="H17" i="2"/>
  <c r="H16" i="2"/>
  <c r="D15" i="2"/>
  <c r="C15" i="2"/>
  <c r="B15" i="2"/>
  <c r="H14" i="2"/>
  <c r="H13" i="2"/>
  <c r="H12" i="2"/>
  <c r="H11" i="2"/>
  <c r="H10" i="2"/>
  <c r="D9" i="2"/>
  <c r="C9" i="2"/>
  <c r="C8" i="2" s="1"/>
  <c r="B9" i="2"/>
  <c r="B8" i="2" s="1"/>
  <c r="H53" i="3"/>
  <c r="H52" i="3"/>
  <c r="H51" i="3"/>
  <c r="H50" i="3"/>
  <c r="H49" i="3"/>
  <c r="H48" i="3"/>
  <c r="D47" i="3"/>
  <c r="C47" i="3"/>
  <c r="B47" i="3"/>
  <c r="H47" i="3" s="1"/>
  <c r="H46" i="3"/>
  <c r="H45" i="3"/>
  <c r="H44" i="3"/>
  <c r="H43" i="3"/>
  <c r="H42" i="3"/>
  <c r="H41" i="3"/>
  <c r="H40" i="3"/>
  <c r="H39" i="3"/>
  <c r="H38" i="3"/>
  <c r="D37" i="3"/>
  <c r="C37" i="3"/>
  <c r="B37" i="3"/>
  <c r="H36" i="3"/>
  <c r="H35" i="3"/>
  <c r="H34" i="3"/>
  <c r="H33" i="3"/>
  <c r="H32" i="3"/>
  <c r="H31" i="3"/>
  <c r="H30" i="3"/>
  <c r="H29" i="3"/>
  <c r="H28" i="3"/>
  <c r="D27" i="3"/>
  <c r="C27" i="3"/>
  <c r="B27" i="3"/>
  <c r="H26" i="3"/>
  <c r="H25" i="3"/>
  <c r="H24" i="3"/>
  <c r="H23" i="3"/>
  <c r="H22" i="3"/>
  <c r="H21" i="3"/>
  <c r="H20" i="3"/>
  <c r="H19" i="3"/>
  <c r="G18" i="3"/>
  <c r="G7" i="3" s="1"/>
  <c r="F18" i="3"/>
  <c r="F7" i="3" s="1"/>
  <c r="E18" i="3"/>
  <c r="E7" i="3" s="1"/>
  <c r="D18" i="3"/>
  <c r="C18" i="3"/>
  <c r="B18" i="3"/>
  <c r="H17" i="3"/>
  <c r="H16" i="3"/>
  <c r="D15" i="3"/>
  <c r="C15" i="3"/>
  <c r="B15" i="3"/>
  <c r="H14" i="3"/>
  <c r="H13" i="3"/>
  <c r="H12" i="3"/>
  <c r="H11" i="3"/>
  <c r="H10" i="3"/>
  <c r="D9" i="3"/>
  <c r="C9" i="3"/>
  <c r="C8" i="3" s="1"/>
  <c r="B9" i="3"/>
  <c r="B8" i="3" s="1"/>
  <c r="H53" i="4"/>
  <c r="H52" i="4"/>
  <c r="H51" i="4"/>
  <c r="H50" i="4"/>
  <c r="H49" i="4"/>
  <c r="H48" i="4"/>
  <c r="D47" i="4"/>
  <c r="C47" i="4"/>
  <c r="B47" i="4"/>
  <c r="H47" i="4" s="1"/>
  <c r="H46" i="4"/>
  <c r="H45" i="4"/>
  <c r="H44" i="4"/>
  <c r="H43" i="4"/>
  <c r="H42" i="4"/>
  <c r="H41" i="4"/>
  <c r="H40" i="4"/>
  <c r="H39" i="4"/>
  <c r="H38" i="4"/>
  <c r="D37" i="4"/>
  <c r="C37" i="4"/>
  <c r="B37" i="4"/>
  <c r="H36" i="4"/>
  <c r="H35" i="4"/>
  <c r="H34" i="4"/>
  <c r="H33" i="4"/>
  <c r="H32" i="4"/>
  <c r="H31" i="4"/>
  <c r="H30" i="4"/>
  <c r="H29" i="4"/>
  <c r="H28" i="4"/>
  <c r="D27" i="4"/>
  <c r="C27" i="4"/>
  <c r="B27" i="4"/>
  <c r="H26" i="4"/>
  <c r="H25" i="4"/>
  <c r="H24" i="4"/>
  <c r="H23" i="4"/>
  <c r="H22" i="4"/>
  <c r="H21" i="4"/>
  <c r="H20" i="4"/>
  <c r="H19" i="4"/>
  <c r="G18" i="4"/>
  <c r="G7" i="4" s="1"/>
  <c r="F18" i="4"/>
  <c r="F7" i="4" s="1"/>
  <c r="E18" i="4"/>
  <c r="E7" i="4" s="1"/>
  <c r="D18" i="4"/>
  <c r="C18" i="4"/>
  <c r="B18" i="4"/>
  <c r="H17" i="4"/>
  <c r="H16" i="4"/>
  <c r="D15" i="4"/>
  <c r="C15" i="4"/>
  <c r="B15" i="4"/>
  <c r="H15" i="4" s="1"/>
  <c r="H14" i="4"/>
  <c r="H13" i="4"/>
  <c r="H12" i="4"/>
  <c r="H11" i="4"/>
  <c r="H10" i="4"/>
  <c r="D9" i="4"/>
  <c r="C9" i="4"/>
  <c r="C8" i="4" s="1"/>
  <c r="B9" i="4"/>
  <c r="H53" i="5"/>
  <c r="H52" i="5"/>
  <c r="H51" i="5"/>
  <c r="H50" i="5"/>
  <c r="H49" i="5"/>
  <c r="H48" i="5"/>
  <c r="D47" i="5"/>
  <c r="C47" i="5"/>
  <c r="B47" i="5"/>
  <c r="H47" i="5" s="1"/>
  <c r="H46" i="5"/>
  <c r="H45" i="5"/>
  <c r="H44" i="5"/>
  <c r="H43" i="5"/>
  <c r="H42" i="5"/>
  <c r="H41" i="5"/>
  <c r="H40" i="5"/>
  <c r="H39" i="5"/>
  <c r="H38" i="5"/>
  <c r="D37" i="5"/>
  <c r="C37" i="5"/>
  <c r="B37" i="5"/>
  <c r="H36" i="5"/>
  <c r="H35" i="5"/>
  <c r="H34" i="5"/>
  <c r="H33" i="5"/>
  <c r="H32" i="5"/>
  <c r="H31" i="5"/>
  <c r="H30" i="5"/>
  <c r="H29" i="5"/>
  <c r="H28" i="5"/>
  <c r="D27" i="5"/>
  <c r="C27" i="5"/>
  <c r="B27" i="5"/>
  <c r="H26" i="5"/>
  <c r="H25" i="5"/>
  <c r="H24" i="5"/>
  <c r="H23" i="5"/>
  <c r="H22" i="5"/>
  <c r="H21" i="5"/>
  <c r="H20" i="5"/>
  <c r="H19" i="5"/>
  <c r="G18" i="5"/>
  <c r="G7" i="5" s="1"/>
  <c r="F18" i="5"/>
  <c r="F7" i="5" s="1"/>
  <c r="E18" i="5"/>
  <c r="E7" i="5" s="1"/>
  <c r="D18" i="5"/>
  <c r="C18" i="5"/>
  <c r="H18" i="5" s="1"/>
  <c r="B18" i="5"/>
  <c r="H17" i="5"/>
  <c r="H16" i="5"/>
  <c r="H15" i="5"/>
  <c r="D15" i="5"/>
  <c r="C15" i="5"/>
  <c r="B15" i="5"/>
  <c r="H14" i="5"/>
  <c r="H13" i="5"/>
  <c r="H12" i="5"/>
  <c r="H11" i="5"/>
  <c r="H10" i="5"/>
  <c r="D9" i="5"/>
  <c r="C9" i="5"/>
  <c r="C8" i="5" s="1"/>
  <c r="C7" i="5" s="1"/>
  <c r="B9" i="5"/>
  <c r="B8" i="5" s="1"/>
  <c r="D8" i="5"/>
  <c r="H53" i="6"/>
  <c r="H52" i="6"/>
  <c r="H51" i="6"/>
  <c r="H50" i="6"/>
  <c r="H49" i="6"/>
  <c r="H48" i="6"/>
  <c r="D47" i="6"/>
  <c r="C47" i="6"/>
  <c r="B47" i="6"/>
  <c r="H47" i="6" s="1"/>
  <c r="H46" i="6"/>
  <c r="H45" i="6"/>
  <c r="H44" i="6"/>
  <c r="H43" i="6"/>
  <c r="H42" i="6"/>
  <c r="H41" i="6"/>
  <c r="H40" i="6"/>
  <c r="H39" i="6"/>
  <c r="H38" i="6"/>
  <c r="D37" i="6"/>
  <c r="C37" i="6"/>
  <c r="B37" i="6"/>
  <c r="H36" i="6"/>
  <c r="H35" i="6"/>
  <c r="H34" i="6"/>
  <c r="H33" i="6"/>
  <c r="H32" i="6"/>
  <c r="H31" i="6"/>
  <c r="H30" i="6"/>
  <c r="H29" i="6"/>
  <c r="H28" i="6"/>
  <c r="D27" i="6"/>
  <c r="C27" i="6"/>
  <c r="B27" i="6"/>
  <c r="H26" i="6"/>
  <c r="H25" i="6"/>
  <c r="H24" i="6"/>
  <c r="H23" i="6"/>
  <c r="H22" i="6"/>
  <c r="H21" i="6"/>
  <c r="H20" i="6"/>
  <c r="H19" i="6"/>
  <c r="G18" i="6"/>
  <c r="G7" i="6" s="1"/>
  <c r="F18" i="6"/>
  <c r="F7" i="6" s="1"/>
  <c r="E18" i="6"/>
  <c r="E7" i="6" s="1"/>
  <c r="D18" i="6"/>
  <c r="C18" i="6"/>
  <c r="B18" i="6"/>
  <c r="H18" i="6" s="1"/>
  <c r="H17" i="6"/>
  <c r="H16" i="6"/>
  <c r="D15" i="6"/>
  <c r="C15" i="6"/>
  <c r="B15" i="6"/>
  <c r="H15" i="6" s="1"/>
  <c r="H14" i="6"/>
  <c r="H13" i="6"/>
  <c r="H12" i="6"/>
  <c r="H11" i="6"/>
  <c r="H10" i="6"/>
  <c r="D9" i="6"/>
  <c r="C9" i="6"/>
  <c r="C8" i="6" s="1"/>
  <c r="B9" i="6"/>
  <c r="H53" i="7"/>
  <c r="H52" i="7"/>
  <c r="H51" i="7"/>
  <c r="H50" i="7"/>
  <c r="H49" i="7"/>
  <c r="H48" i="7"/>
  <c r="D47" i="7"/>
  <c r="C47" i="7"/>
  <c r="B47" i="7"/>
  <c r="H46" i="7"/>
  <c r="H45" i="7"/>
  <c r="H44" i="7"/>
  <c r="H43" i="7"/>
  <c r="H42" i="7"/>
  <c r="H41" i="7"/>
  <c r="H40" i="7"/>
  <c r="H39" i="7"/>
  <c r="H38" i="7"/>
  <c r="D37" i="7"/>
  <c r="D7" i="7" s="1"/>
  <c r="C37" i="7"/>
  <c r="C7" i="7" s="1"/>
  <c r="B37" i="7"/>
  <c r="H36" i="7"/>
  <c r="H35" i="7"/>
  <c r="H34" i="7"/>
  <c r="H33" i="7"/>
  <c r="H32" i="7"/>
  <c r="H31" i="7"/>
  <c r="H30" i="7"/>
  <c r="H29" i="7"/>
  <c r="H28" i="7"/>
  <c r="D27" i="7"/>
  <c r="C27" i="7"/>
  <c r="B27" i="7"/>
  <c r="H26" i="7"/>
  <c r="H25" i="7"/>
  <c r="H24" i="7"/>
  <c r="H23" i="7"/>
  <c r="H22" i="7"/>
  <c r="H21" i="7"/>
  <c r="H20" i="7"/>
  <c r="H19" i="7"/>
  <c r="G18" i="7"/>
  <c r="G7" i="7" s="1"/>
  <c r="F18" i="7"/>
  <c r="F7" i="7" s="1"/>
  <c r="E18" i="7"/>
  <c r="E7" i="7" s="1"/>
  <c r="D18" i="7"/>
  <c r="C18" i="7"/>
  <c r="B18" i="7"/>
  <c r="H17" i="7"/>
  <c r="H16" i="7"/>
  <c r="D15" i="7"/>
  <c r="C15" i="7"/>
  <c r="B15" i="7"/>
  <c r="H15" i="7" s="1"/>
  <c r="H14" i="7"/>
  <c r="H13" i="7"/>
  <c r="H12" i="7"/>
  <c r="H11" i="7"/>
  <c r="H10" i="7"/>
  <c r="D9" i="7"/>
  <c r="D8" i="7" s="1"/>
  <c r="C9" i="7"/>
  <c r="C8" i="7" s="1"/>
  <c r="B9" i="7"/>
  <c r="B8" i="7" s="1"/>
  <c r="H53" i="8"/>
  <c r="H52" i="8"/>
  <c r="H51" i="8"/>
  <c r="H50" i="8"/>
  <c r="H49" i="8"/>
  <c r="H48" i="8"/>
  <c r="D47" i="8"/>
  <c r="C47" i="8"/>
  <c r="B47" i="8"/>
  <c r="H47" i="8" s="1"/>
  <c r="H46" i="8"/>
  <c r="H45" i="8"/>
  <c r="H44" i="8"/>
  <c r="H43" i="8"/>
  <c r="H42" i="8"/>
  <c r="H41" i="8"/>
  <c r="H40" i="8"/>
  <c r="H39" i="8"/>
  <c r="H38" i="8"/>
  <c r="D37" i="8"/>
  <c r="C37" i="8"/>
  <c r="B37" i="8"/>
  <c r="H37" i="8" s="1"/>
  <c r="H36" i="8"/>
  <c r="H35" i="8"/>
  <c r="H34" i="8"/>
  <c r="H33" i="8"/>
  <c r="H32" i="8"/>
  <c r="H31" i="8"/>
  <c r="H30" i="8"/>
  <c r="H29" i="8"/>
  <c r="H28" i="8"/>
  <c r="D27" i="8"/>
  <c r="C27" i="8"/>
  <c r="B27" i="8"/>
  <c r="H26" i="8"/>
  <c r="H25" i="8"/>
  <c r="H24" i="8"/>
  <c r="H23" i="8"/>
  <c r="H22" i="8"/>
  <c r="H21" i="8"/>
  <c r="H20" i="8"/>
  <c r="H19" i="8"/>
  <c r="G18" i="8"/>
  <c r="G7" i="8" s="1"/>
  <c r="F18" i="8"/>
  <c r="F7" i="8" s="1"/>
  <c r="E18" i="8"/>
  <c r="E7" i="8" s="1"/>
  <c r="D18" i="8"/>
  <c r="C18" i="8"/>
  <c r="H18" i="8" s="1"/>
  <c r="B18" i="8"/>
  <c r="H17" i="8"/>
  <c r="H16" i="8"/>
  <c r="D15" i="8"/>
  <c r="C15" i="8"/>
  <c r="B15" i="8"/>
  <c r="H14" i="8"/>
  <c r="H13" i="8"/>
  <c r="H12" i="8"/>
  <c r="H11" i="8"/>
  <c r="H10" i="8"/>
  <c r="D9" i="8"/>
  <c r="D8" i="8" s="1"/>
  <c r="C9" i="8"/>
  <c r="B9" i="8"/>
  <c r="B8" i="8" s="1"/>
  <c r="C8" i="8"/>
  <c r="H53" i="9"/>
  <c r="H52" i="9"/>
  <c r="H51" i="9"/>
  <c r="H50" i="9"/>
  <c r="H49" i="9"/>
  <c r="H48" i="9"/>
  <c r="D47" i="9"/>
  <c r="C47" i="9"/>
  <c r="B47" i="9"/>
  <c r="H46" i="9"/>
  <c r="H45" i="9"/>
  <c r="H44" i="9"/>
  <c r="H43" i="9"/>
  <c r="H42" i="9"/>
  <c r="H41" i="9"/>
  <c r="H40" i="9"/>
  <c r="H39" i="9"/>
  <c r="H38" i="9"/>
  <c r="D37" i="9"/>
  <c r="C37" i="9"/>
  <c r="B37" i="9"/>
  <c r="H36" i="9"/>
  <c r="H35" i="9"/>
  <c r="H34" i="9"/>
  <c r="H33" i="9"/>
  <c r="H32" i="9"/>
  <c r="H31" i="9"/>
  <c r="H30" i="9"/>
  <c r="H29" i="9"/>
  <c r="H28" i="9"/>
  <c r="D27" i="9"/>
  <c r="C27" i="9"/>
  <c r="B27" i="9"/>
  <c r="H26" i="9"/>
  <c r="H25" i="9"/>
  <c r="H24" i="9"/>
  <c r="H23" i="9"/>
  <c r="H22" i="9"/>
  <c r="H21" i="9"/>
  <c r="H20" i="9"/>
  <c r="H19" i="9"/>
  <c r="G18" i="9"/>
  <c r="G7" i="9" s="1"/>
  <c r="F18" i="9"/>
  <c r="F7" i="9" s="1"/>
  <c r="E18" i="9"/>
  <c r="E7" i="9" s="1"/>
  <c r="D18" i="9"/>
  <c r="C18" i="9"/>
  <c r="B18" i="9"/>
  <c r="H18" i="9" s="1"/>
  <c r="H17" i="9"/>
  <c r="H16" i="9"/>
  <c r="D15" i="9"/>
  <c r="C15" i="9"/>
  <c r="B15" i="9"/>
  <c r="H15" i="9" s="1"/>
  <c r="H14" i="9"/>
  <c r="H13" i="9"/>
  <c r="H12" i="9"/>
  <c r="H11" i="9"/>
  <c r="H10" i="9"/>
  <c r="D9" i="9"/>
  <c r="D8" i="9" s="1"/>
  <c r="C9" i="9"/>
  <c r="C8" i="9" s="1"/>
  <c r="B9" i="9"/>
  <c r="H9" i="9" s="1"/>
  <c r="B8" i="9"/>
  <c r="H53" i="10"/>
  <c r="H52" i="10"/>
  <c r="H51" i="10"/>
  <c r="H50" i="10"/>
  <c r="H49" i="10"/>
  <c r="H48" i="10"/>
  <c r="D47" i="10"/>
  <c r="C47" i="10"/>
  <c r="H47" i="10" s="1"/>
  <c r="B47" i="10"/>
  <c r="H46" i="10"/>
  <c r="H45" i="10"/>
  <c r="H44" i="10"/>
  <c r="H43" i="10"/>
  <c r="H42" i="10"/>
  <c r="H41" i="10"/>
  <c r="H40" i="10"/>
  <c r="H39" i="10"/>
  <c r="H38" i="10"/>
  <c r="D37" i="10"/>
  <c r="C37" i="10"/>
  <c r="B37" i="10"/>
  <c r="H36" i="10"/>
  <c r="H35" i="10"/>
  <c r="H34" i="10"/>
  <c r="H33" i="10"/>
  <c r="H32" i="10"/>
  <c r="H31" i="10"/>
  <c r="H30" i="10"/>
  <c r="H29" i="10"/>
  <c r="H28" i="10"/>
  <c r="D27" i="10"/>
  <c r="C27" i="10"/>
  <c r="B27" i="10"/>
  <c r="H26" i="10"/>
  <c r="H25" i="10"/>
  <c r="H24" i="10"/>
  <c r="H23" i="10"/>
  <c r="H22" i="10"/>
  <c r="H21" i="10"/>
  <c r="H20" i="10"/>
  <c r="H19" i="10"/>
  <c r="G18" i="10"/>
  <c r="G7" i="10" s="1"/>
  <c r="F18" i="10"/>
  <c r="F7" i="10" s="1"/>
  <c r="E18" i="10"/>
  <c r="E7" i="10" s="1"/>
  <c r="D18" i="10"/>
  <c r="C18" i="10"/>
  <c r="B18" i="10"/>
  <c r="H17" i="10"/>
  <c r="H16" i="10"/>
  <c r="D15" i="10"/>
  <c r="C15" i="10"/>
  <c r="B15" i="10"/>
  <c r="H14" i="10"/>
  <c r="H13" i="10"/>
  <c r="H12" i="10"/>
  <c r="H11" i="10"/>
  <c r="H10" i="10"/>
  <c r="D9" i="10"/>
  <c r="C9" i="10"/>
  <c r="C8" i="10" s="1"/>
  <c r="C7" i="10" s="1"/>
  <c r="B9" i="10"/>
  <c r="D8" i="10"/>
  <c r="H53" i="11"/>
  <c r="H52" i="11"/>
  <c r="H51" i="11"/>
  <c r="H50" i="11"/>
  <c r="H49" i="11"/>
  <c r="H48" i="11"/>
  <c r="D47" i="11"/>
  <c r="C47" i="11"/>
  <c r="B47" i="11"/>
  <c r="H47" i="11" s="1"/>
  <c r="H46" i="11"/>
  <c r="H45" i="11"/>
  <c r="H44" i="11"/>
  <c r="H43" i="11"/>
  <c r="H42" i="11"/>
  <c r="H41" i="11"/>
  <c r="H40" i="11"/>
  <c r="H39" i="11"/>
  <c r="H38" i="11"/>
  <c r="D37" i="11"/>
  <c r="C37" i="11"/>
  <c r="B37" i="11"/>
  <c r="H36" i="11"/>
  <c r="H35" i="11"/>
  <c r="H34" i="11"/>
  <c r="H33" i="11"/>
  <c r="H32" i="11"/>
  <c r="H31" i="11"/>
  <c r="H30" i="11"/>
  <c r="H29" i="11"/>
  <c r="H28" i="11"/>
  <c r="D27" i="11"/>
  <c r="C27" i="11"/>
  <c r="B27" i="11"/>
  <c r="H26" i="11"/>
  <c r="H25" i="11"/>
  <c r="H24" i="11"/>
  <c r="H23" i="11"/>
  <c r="H22" i="11"/>
  <c r="H21" i="11"/>
  <c r="H20" i="11"/>
  <c r="H19" i="11"/>
  <c r="G18" i="11"/>
  <c r="G7" i="11" s="1"/>
  <c r="F18" i="11"/>
  <c r="F7" i="11" s="1"/>
  <c r="E18" i="11"/>
  <c r="E7" i="11" s="1"/>
  <c r="D18" i="11"/>
  <c r="C18" i="11"/>
  <c r="B18" i="11"/>
  <c r="H17" i="11"/>
  <c r="H16" i="11"/>
  <c r="D15" i="11"/>
  <c r="C15" i="11"/>
  <c r="B15" i="11"/>
  <c r="H15" i="11" s="1"/>
  <c r="H14" i="11"/>
  <c r="H13" i="11"/>
  <c r="H12" i="11"/>
  <c r="H11" i="11"/>
  <c r="H10" i="11"/>
  <c r="D9" i="11"/>
  <c r="C9" i="11"/>
  <c r="C8" i="11" s="1"/>
  <c r="B9" i="11"/>
  <c r="B8" i="11" s="1"/>
  <c r="D8" i="11"/>
  <c r="H53" i="12"/>
  <c r="H52" i="12"/>
  <c r="H51" i="12"/>
  <c r="H50" i="12"/>
  <c r="H49" i="12"/>
  <c r="H48" i="12"/>
  <c r="D47" i="12"/>
  <c r="C47" i="12"/>
  <c r="B47" i="12"/>
  <c r="H47" i="12" s="1"/>
  <c r="H46" i="12"/>
  <c r="H45" i="12"/>
  <c r="H44" i="12"/>
  <c r="H43" i="12"/>
  <c r="H42" i="12"/>
  <c r="H41" i="12"/>
  <c r="H40" i="12"/>
  <c r="H39" i="12"/>
  <c r="H38" i="12"/>
  <c r="D37" i="12"/>
  <c r="C37" i="12"/>
  <c r="B37" i="12"/>
  <c r="H36" i="12"/>
  <c r="H35" i="12"/>
  <c r="H34" i="12"/>
  <c r="H33" i="12"/>
  <c r="H32" i="12"/>
  <c r="H31" i="12"/>
  <c r="H30" i="12"/>
  <c r="H29" i="12"/>
  <c r="H28" i="12"/>
  <c r="D27" i="12"/>
  <c r="C27" i="12"/>
  <c r="B27" i="12"/>
  <c r="H26" i="12"/>
  <c r="H25" i="12"/>
  <c r="H24" i="12"/>
  <c r="H23" i="12"/>
  <c r="H22" i="12"/>
  <c r="H21" i="12"/>
  <c r="H20" i="12"/>
  <c r="H19" i="12"/>
  <c r="G18" i="12"/>
  <c r="G7" i="12" s="1"/>
  <c r="F18" i="12"/>
  <c r="F7" i="12" s="1"/>
  <c r="E18" i="12"/>
  <c r="E7" i="12" s="1"/>
  <c r="D18" i="12"/>
  <c r="C18" i="12"/>
  <c r="B18" i="12"/>
  <c r="H17" i="12"/>
  <c r="H16" i="12"/>
  <c r="D15" i="12"/>
  <c r="C15" i="12"/>
  <c r="B15" i="12"/>
  <c r="H15" i="12" s="1"/>
  <c r="H14" i="12"/>
  <c r="H13" i="12"/>
  <c r="H12" i="12"/>
  <c r="H11" i="12"/>
  <c r="H10" i="12"/>
  <c r="D9" i="12"/>
  <c r="D8" i="12" s="1"/>
  <c r="D7" i="12" s="1"/>
  <c r="C9" i="12"/>
  <c r="B9" i="12"/>
  <c r="B8" i="12"/>
  <c r="H53" i="13"/>
  <c r="H52" i="13"/>
  <c r="H51" i="13"/>
  <c r="H50" i="13"/>
  <c r="H49" i="13"/>
  <c r="H48" i="13"/>
  <c r="D47" i="13"/>
  <c r="C47" i="13"/>
  <c r="B47" i="13"/>
  <c r="H47" i="13" s="1"/>
  <c r="H46" i="13"/>
  <c r="H45" i="13"/>
  <c r="H44" i="13"/>
  <c r="H43" i="13"/>
  <c r="H42" i="13"/>
  <c r="H41" i="13"/>
  <c r="H40" i="13"/>
  <c r="H39" i="13"/>
  <c r="H38" i="13"/>
  <c r="D37" i="13"/>
  <c r="C37" i="13"/>
  <c r="B37" i="13"/>
  <c r="H36" i="13"/>
  <c r="H35" i="13"/>
  <c r="H34" i="13"/>
  <c r="H33" i="13"/>
  <c r="H32" i="13"/>
  <c r="H31" i="13"/>
  <c r="H30" i="13"/>
  <c r="H29" i="13"/>
  <c r="H28" i="13"/>
  <c r="D27" i="13"/>
  <c r="C27" i="13"/>
  <c r="B27" i="13"/>
  <c r="H26" i="13"/>
  <c r="H25" i="13"/>
  <c r="H24" i="13"/>
  <c r="H23" i="13"/>
  <c r="H22" i="13"/>
  <c r="H21" i="13"/>
  <c r="H20" i="13"/>
  <c r="H19" i="13"/>
  <c r="G18" i="13"/>
  <c r="G7" i="13" s="1"/>
  <c r="F18" i="13"/>
  <c r="F7" i="13" s="1"/>
  <c r="E18" i="13"/>
  <c r="E7" i="13" s="1"/>
  <c r="D18" i="13"/>
  <c r="C18" i="13"/>
  <c r="B18" i="13"/>
  <c r="H17" i="13"/>
  <c r="H16" i="13"/>
  <c r="D15" i="13"/>
  <c r="D8" i="13" s="1"/>
  <c r="C15" i="13"/>
  <c r="B15" i="13"/>
  <c r="B8" i="13" s="1"/>
  <c r="H8" i="13" s="1"/>
  <c r="H14" i="13"/>
  <c r="H13" i="13"/>
  <c r="H12" i="13"/>
  <c r="H11" i="13"/>
  <c r="H10" i="13"/>
  <c r="H9" i="13"/>
  <c r="D9" i="13"/>
  <c r="C9" i="13"/>
  <c r="B9" i="13"/>
  <c r="C8" i="13"/>
  <c r="H53" i="14"/>
  <c r="H52" i="14"/>
  <c r="H51" i="14"/>
  <c r="H50" i="14"/>
  <c r="H49" i="14"/>
  <c r="H48" i="14"/>
  <c r="D47" i="14"/>
  <c r="C47" i="14"/>
  <c r="B47" i="14"/>
  <c r="H46" i="14"/>
  <c r="H45" i="14"/>
  <c r="H44" i="14"/>
  <c r="H43" i="14"/>
  <c r="H42" i="14"/>
  <c r="H41" i="14"/>
  <c r="H40" i="14"/>
  <c r="H39" i="14"/>
  <c r="H38" i="14"/>
  <c r="D37" i="14"/>
  <c r="C37" i="14"/>
  <c r="B37" i="14"/>
  <c r="H36" i="14"/>
  <c r="H35" i="14"/>
  <c r="H34" i="14"/>
  <c r="H33" i="14"/>
  <c r="H32" i="14"/>
  <c r="H31" i="14"/>
  <c r="H30" i="14"/>
  <c r="H29" i="14"/>
  <c r="H28" i="14"/>
  <c r="D27" i="14"/>
  <c r="C27" i="14"/>
  <c r="H27" i="14" s="1"/>
  <c r="B27" i="14"/>
  <c r="H26" i="14"/>
  <c r="H25" i="14"/>
  <c r="H24" i="14"/>
  <c r="H23" i="14"/>
  <c r="H22" i="14"/>
  <c r="H21" i="14"/>
  <c r="H20" i="14"/>
  <c r="H19" i="14"/>
  <c r="G18" i="14"/>
  <c r="G7" i="14" s="1"/>
  <c r="F18" i="14"/>
  <c r="F7" i="14" s="1"/>
  <c r="E18" i="14"/>
  <c r="E7" i="14" s="1"/>
  <c r="D18" i="14"/>
  <c r="C18" i="14"/>
  <c r="B18" i="14"/>
  <c r="H17" i="14"/>
  <c r="H16" i="14"/>
  <c r="D15" i="14"/>
  <c r="C15" i="14"/>
  <c r="B15" i="14"/>
  <c r="H14" i="14"/>
  <c r="H13" i="14"/>
  <c r="H12" i="14"/>
  <c r="H11" i="14"/>
  <c r="H10" i="14"/>
  <c r="D9" i="14"/>
  <c r="D8" i="14" s="1"/>
  <c r="C9" i="14"/>
  <c r="H9" i="14" s="1"/>
  <c r="B9" i="14"/>
  <c r="H53" i="15"/>
  <c r="H52" i="15"/>
  <c r="H51" i="15"/>
  <c r="H50" i="15"/>
  <c r="H49" i="15"/>
  <c r="H48" i="15"/>
  <c r="D47" i="15"/>
  <c r="C47" i="15"/>
  <c r="B47" i="15"/>
  <c r="H47" i="15" s="1"/>
  <c r="H46" i="15"/>
  <c r="H45" i="15"/>
  <c r="H44" i="15"/>
  <c r="H43" i="15"/>
  <c r="H42" i="15"/>
  <c r="H41" i="15"/>
  <c r="H40" i="15"/>
  <c r="H39" i="15"/>
  <c r="H38" i="15"/>
  <c r="D37" i="15"/>
  <c r="C37" i="15"/>
  <c r="B37" i="15"/>
  <c r="H36" i="15"/>
  <c r="H35" i="15"/>
  <c r="H34" i="15"/>
  <c r="H33" i="15"/>
  <c r="H32" i="15"/>
  <c r="H31" i="15"/>
  <c r="H30" i="15"/>
  <c r="H29" i="15"/>
  <c r="H28" i="15"/>
  <c r="D27" i="15"/>
  <c r="C27" i="15"/>
  <c r="B27" i="15"/>
  <c r="H26" i="15"/>
  <c r="H25" i="15"/>
  <c r="H24" i="15"/>
  <c r="H23" i="15"/>
  <c r="H22" i="15"/>
  <c r="H21" i="15"/>
  <c r="H20" i="15"/>
  <c r="H19" i="15"/>
  <c r="G18" i="15"/>
  <c r="G7" i="15" s="1"/>
  <c r="F18" i="15"/>
  <c r="F7" i="15" s="1"/>
  <c r="E18" i="15"/>
  <c r="E7" i="15" s="1"/>
  <c r="D18" i="15"/>
  <c r="C18" i="15"/>
  <c r="H18" i="15" s="1"/>
  <c r="B18" i="15"/>
  <c r="H17" i="15"/>
  <c r="H16" i="15"/>
  <c r="D15" i="15"/>
  <c r="C15" i="15"/>
  <c r="C8" i="15" s="1"/>
  <c r="B15" i="15"/>
  <c r="H14" i="15"/>
  <c r="H13" i="15"/>
  <c r="H12" i="15"/>
  <c r="H11" i="15"/>
  <c r="H10" i="15"/>
  <c r="D9" i="15"/>
  <c r="D8" i="15" s="1"/>
  <c r="C9" i="15"/>
  <c r="B9" i="15"/>
  <c r="B8" i="15" s="1"/>
  <c r="H53" i="16"/>
  <c r="H52" i="16"/>
  <c r="H51" i="16"/>
  <c r="H50" i="16"/>
  <c r="H49" i="16"/>
  <c r="H48" i="16"/>
  <c r="D47" i="16"/>
  <c r="C47" i="16"/>
  <c r="B47" i="16"/>
  <c r="H47" i="16" s="1"/>
  <c r="H46" i="16"/>
  <c r="H45" i="16"/>
  <c r="H44" i="16"/>
  <c r="H43" i="16"/>
  <c r="H42" i="16"/>
  <c r="H41" i="16"/>
  <c r="H40" i="16"/>
  <c r="H39" i="16"/>
  <c r="H38" i="16"/>
  <c r="H37" i="16"/>
  <c r="D37" i="16"/>
  <c r="C37" i="16"/>
  <c r="B37" i="16"/>
  <c r="H36" i="16"/>
  <c r="H35" i="16"/>
  <c r="H34" i="16"/>
  <c r="H33" i="16"/>
  <c r="H32" i="16"/>
  <c r="H31" i="16"/>
  <c r="H30" i="16"/>
  <c r="H29" i="16"/>
  <c r="H28" i="16"/>
  <c r="D27" i="16"/>
  <c r="C27" i="16"/>
  <c r="B27" i="16"/>
  <c r="H27" i="16" s="1"/>
  <c r="H26" i="16"/>
  <c r="H25" i="16"/>
  <c r="H24" i="16"/>
  <c r="H23" i="16"/>
  <c r="H22" i="16"/>
  <c r="H21" i="16"/>
  <c r="H20" i="16"/>
  <c r="H19" i="16"/>
  <c r="G18" i="16"/>
  <c r="G7" i="16" s="1"/>
  <c r="F18" i="16"/>
  <c r="F7" i="16" s="1"/>
  <c r="E18" i="16"/>
  <c r="E7" i="16" s="1"/>
  <c r="D18" i="16"/>
  <c r="C18" i="16"/>
  <c r="B18" i="16"/>
  <c r="H17" i="16"/>
  <c r="H16" i="16"/>
  <c r="D15" i="16"/>
  <c r="C15" i="16"/>
  <c r="B15" i="16"/>
  <c r="H14" i="16"/>
  <c r="H13" i="16"/>
  <c r="H12" i="16"/>
  <c r="H11" i="16"/>
  <c r="H10" i="16"/>
  <c r="D9" i="16"/>
  <c r="D8" i="16" s="1"/>
  <c r="D7" i="16" s="1"/>
  <c r="C9" i="16"/>
  <c r="B9" i="16"/>
  <c r="B8" i="16" s="1"/>
  <c r="H53" i="17"/>
  <c r="H52" i="17"/>
  <c r="H51" i="17"/>
  <c r="H50" i="17"/>
  <c r="H49" i="17"/>
  <c r="H48" i="17"/>
  <c r="D47" i="17"/>
  <c r="C47" i="17"/>
  <c r="B47" i="17"/>
  <c r="H46" i="17"/>
  <c r="H45" i="17"/>
  <c r="H44" i="17"/>
  <c r="H43" i="17"/>
  <c r="H42" i="17"/>
  <c r="H41" i="17"/>
  <c r="H40" i="17"/>
  <c r="H39" i="17"/>
  <c r="H38" i="17"/>
  <c r="D37" i="17"/>
  <c r="C37" i="17"/>
  <c r="C7" i="17" s="1"/>
  <c r="B37" i="17"/>
  <c r="H36" i="17"/>
  <c r="H35" i="17"/>
  <c r="H34" i="17"/>
  <c r="H33" i="17"/>
  <c r="H32" i="17"/>
  <c r="H31" i="17"/>
  <c r="H30" i="17"/>
  <c r="H29" i="17"/>
  <c r="H28" i="17"/>
  <c r="D27" i="17"/>
  <c r="C27" i="17"/>
  <c r="H27" i="17" s="1"/>
  <c r="B27" i="17"/>
  <c r="H26" i="17"/>
  <c r="H25" i="17"/>
  <c r="H24" i="17"/>
  <c r="H23" i="17"/>
  <c r="H22" i="17"/>
  <c r="H21" i="17"/>
  <c r="H20" i="17"/>
  <c r="H19" i="17"/>
  <c r="G18" i="17"/>
  <c r="G7" i="17" s="1"/>
  <c r="F18" i="17"/>
  <c r="F7" i="17" s="1"/>
  <c r="E18" i="17"/>
  <c r="E7" i="17" s="1"/>
  <c r="D18" i="17"/>
  <c r="C18" i="17"/>
  <c r="B18" i="17"/>
  <c r="H17" i="17"/>
  <c r="H16" i="17"/>
  <c r="D15" i="17"/>
  <c r="C15" i="17"/>
  <c r="B15" i="17"/>
  <c r="H15" i="17" s="1"/>
  <c r="H14" i="17"/>
  <c r="H13" i="17"/>
  <c r="H12" i="17"/>
  <c r="H11" i="17"/>
  <c r="H10" i="17"/>
  <c r="D9" i="17"/>
  <c r="C9" i="17"/>
  <c r="B9" i="17"/>
  <c r="B8" i="17" s="1"/>
  <c r="D8" i="17"/>
  <c r="C8" i="17"/>
  <c r="H53" i="18"/>
  <c r="H52" i="18"/>
  <c r="H51" i="18"/>
  <c r="H50" i="18"/>
  <c r="H49" i="18"/>
  <c r="H48" i="18"/>
  <c r="D47" i="18"/>
  <c r="C47" i="18"/>
  <c r="B47" i="18"/>
  <c r="H47" i="18" s="1"/>
  <c r="H46" i="18"/>
  <c r="H45" i="18"/>
  <c r="H44" i="18"/>
  <c r="H43" i="18"/>
  <c r="H42" i="18"/>
  <c r="H41" i="18"/>
  <c r="H40" i="18"/>
  <c r="H39" i="18"/>
  <c r="H38" i="18"/>
  <c r="D37" i="18"/>
  <c r="C37" i="18"/>
  <c r="B37" i="18"/>
  <c r="H36" i="18"/>
  <c r="H35" i="18"/>
  <c r="H34" i="18"/>
  <c r="H33" i="18"/>
  <c r="H32" i="18"/>
  <c r="H31" i="18"/>
  <c r="H30" i="18"/>
  <c r="H29" i="18"/>
  <c r="H28" i="18"/>
  <c r="D27" i="18"/>
  <c r="C27" i="18"/>
  <c r="B27" i="18"/>
  <c r="H26" i="18"/>
  <c r="H25" i="18"/>
  <c r="H24" i="18"/>
  <c r="H23" i="18"/>
  <c r="H22" i="18"/>
  <c r="H21" i="18"/>
  <c r="H20" i="18"/>
  <c r="H19" i="18"/>
  <c r="G18" i="18"/>
  <c r="G7" i="18" s="1"/>
  <c r="F18" i="18"/>
  <c r="F7" i="18" s="1"/>
  <c r="E18" i="18"/>
  <c r="E7" i="18" s="1"/>
  <c r="D18" i="18"/>
  <c r="C18" i="18"/>
  <c r="B18" i="18"/>
  <c r="H17" i="18"/>
  <c r="H16" i="18"/>
  <c r="D15" i="18"/>
  <c r="C15" i="18"/>
  <c r="B15" i="18"/>
  <c r="H14" i="18"/>
  <c r="H13" i="18"/>
  <c r="H12" i="18"/>
  <c r="H11" i="18"/>
  <c r="H10" i="18"/>
  <c r="D9" i="18"/>
  <c r="C9" i="18"/>
  <c r="B9" i="18"/>
  <c r="B8" i="18" s="1"/>
  <c r="C8" i="18"/>
  <c r="H53" i="19"/>
  <c r="H52" i="19"/>
  <c r="H51" i="19"/>
  <c r="H50" i="19"/>
  <c r="H49" i="19"/>
  <c r="H48" i="19"/>
  <c r="D47" i="19"/>
  <c r="C47" i="19"/>
  <c r="B47" i="19"/>
  <c r="H47" i="19" s="1"/>
  <c r="H46" i="19"/>
  <c r="H45" i="19"/>
  <c r="H44" i="19"/>
  <c r="H43" i="19"/>
  <c r="H42" i="19"/>
  <c r="H41" i="19"/>
  <c r="H40" i="19"/>
  <c r="H39" i="19"/>
  <c r="H38" i="19"/>
  <c r="D37" i="19"/>
  <c r="C37" i="19"/>
  <c r="B37" i="19"/>
  <c r="H36" i="19"/>
  <c r="H35" i="19"/>
  <c r="H34" i="19"/>
  <c r="H33" i="19"/>
  <c r="H32" i="19"/>
  <c r="H31" i="19"/>
  <c r="H30" i="19"/>
  <c r="H29" i="19"/>
  <c r="H28" i="19"/>
  <c r="D27" i="19"/>
  <c r="C27" i="19"/>
  <c r="B27" i="19"/>
  <c r="H26" i="19"/>
  <c r="H25" i="19"/>
  <c r="H24" i="19"/>
  <c r="H23" i="19"/>
  <c r="H22" i="19"/>
  <c r="H21" i="19"/>
  <c r="H20" i="19"/>
  <c r="H19" i="19"/>
  <c r="G18" i="19"/>
  <c r="G7" i="19" s="1"/>
  <c r="F18" i="19"/>
  <c r="F7" i="19" s="1"/>
  <c r="E18" i="19"/>
  <c r="E7" i="19" s="1"/>
  <c r="D18" i="19"/>
  <c r="C18" i="19"/>
  <c r="H18" i="19" s="1"/>
  <c r="B18" i="19"/>
  <c r="H17" i="19"/>
  <c r="H16" i="19"/>
  <c r="D15" i="19"/>
  <c r="C15" i="19"/>
  <c r="B15" i="19"/>
  <c r="H15" i="19" s="1"/>
  <c r="H14" i="19"/>
  <c r="H13" i="19"/>
  <c r="H12" i="19"/>
  <c r="H11" i="19"/>
  <c r="H10" i="19"/>
  <c r="D9" i="19"/>
  <c r="D8" i="19" s="1"/>
  <c r="C9" i="19"/>
  <c r="C8" i="19" s="1"/>
  <c r="B9" i="19"/>
  <c r="B8" i="19" s="1"/>
  <c r="H53" i="20"/>
  <c r="H52" i="20"/>
  <c r="H51" i="20"/>
  <c r="H50" i="20"/>
  <c r="H49" i="20"/>
  <c r="H48" i="20"/>
  <c r="H47" i="20"/>
  <c r="D47" i="20"/>
  <c r="C47" i="20"/>
  <c r="B47" i="20"/>
  <c r="H46" i="20"/>
  <c r="H45" i="20"/>
  <c r="H44" i="20"/>
  <c r="H43" i="20"/>
  <c r="H42" i="20"/>
  <c r="H41" i="20"/>
  <c r="H40" i="20"/>
  <c r="H39" i="20"/>
  <c r="H38" i="20"/>
  <c r="D37" i="20"/>
  <c r="C37" i="20"/>
  <c r="B37" i="20"/>
  <c r="H36" i="20"/>
  <c r="H35" i="20"/>
  <c r="H34" i="20"/>
  <c r="H33" i="20"/>
  <c r="H32" i="20"/>
  <c r="H31" i="20"/>
  <c r="H30" i="20"/>
  <c r="H29" i="20"/>
  <c r="H28" i="20"/>
  <c r="D27" i="20"/>
  <c r="H27" i="20" s="1"/>
  <c r="C27" i="20"/>
  <c r="B27" i="20"/>
  <c r="H26" i="20"/>
  <c r="H25" i="20"/>
  <c r="H24" i="20"/>
  <c r="H23" i="20"/>
  <c r="H22" i="20"/>
  <c r="H21" i="20"/>
  <c r="H20" i="20"/>
  <c r="H19" i="20"/>
  <c r="G18" i="20"/>
  <c r="G7" i="20" s="1"/>
  <c r="F18" i="20"/>
  <c r="F7" i="20" s="1"/>
  <c r="E18" i="20"/>
  <c r="E7" i="20" s="1"/>
  <c r="D18" i="20"/>
  <c r="C18" i="20"/>
  <c r="H18" i="20" s="1"/>
  <c r="B18" i="20"/>
  <c r="H17" i="20"/>
  <c r="H16" i="20"/>
  <c r="D15" i="20"/>
  <c r="C15" i="20"/>
  <c r="B15" i="20"/>
  <c r="H14" i="20"/>
  <c r="H13" i="20"/>
  <c r="H12" i="20"/>
  <c r="H11" i="20"/>
  <c r="H10" i="20"/>
  <c r="D9" i="20"/>
  <c r="H9" i="20" s="1"/>
  <c r="C9" i="20"/>
  <c r="B9" i="20"/>
  <c r="C8" i="20"/>
  <c r="H53" i="21"/>
  <c r="H52" i="21"/>
  <c r="H51" i="21"/>
  <c r="H50" i="21"/>
  <c r="H49" i="21"/>
  <c r="H48" i="21"/>
  <c r="H47" i="21"/>
  <c r="D47" i="21"/>
  <c r="C47" i="21"/>
  <c r="B47" i="21"/>
  <c r="H46" i="21"/>
  <c r="H45" i="21"/>
  <c r="H44" i="21"/>
  <c r="H43" i="21"/>
  <c r="H42" i="21"/>
  <c r="H41" i="21"/>
  <c r="H40" i="21"/>
  <c r="H39" i="21"/>
  <c r="H38" i="21"/>
  <c r="D37" i="21"/>
  <c r="C37" i="21"/>
  <c r="B37" i="21"/>
  <c r="H36" i="21"/>
  <c r="H35" i="21"/>
  <c r="H34" i="21"/>
  <c r="H33" i="21"/>
  <c r="H32" i="21"/>
  <c r="H31" i="21"/>
  <c r="H30" i="21"/>
  <c r="H29" i="21"/>
  <c r="H28" i="21"/>
  <c r="D27" i="21"/>
  <c r="C27" i="21"/>
  <c r="B27" i="21"/>
  <c r="H26" i="21"/>
  <c r="H25" i="21"/>
  <c r="H24" i="21"/>
  <c r="H23" i="21"/>
  <c r="H22" i="21"/>
  <c r="H21" i="21"/>
  <c r="H20" i="21"/>
  <c r="H19" i="21"/>
  <c r="G18" i="21"/>
  <c r="G7" i="21" s="1"/>
  <c r="F18" i="21"/>
  <c r="F7" i="21" s="1"/>
  <c r="E18" i="21"/>
  <c r="E7" i="21" s="1"/>
  <c r="D18" i="21"/>
  <c r="C18" i="21"/>
  <c r="B18" i="21"/>
  <c r="H17" i="21"/>
  <c r="H16" i="21"/>
  <c r="D15" i="21"/>
  <c r="C15" i="21"/>
  <c r="B15" i="21"/>
  <c r="H15" i="21" s="1"/>
  <c r="H14" i="21"/>
  <c r="H13" i="21"/>
  <c r="H12" i="21"/>
  <c r="H11" i="21"/>
  <c r="H10" i="21"/>
  <c r="D9" i="21"/>
  <c r="C9" i="21"/>
  <c r="C8" i="21" s="1"/>
  <c r="B9" i="21"/>
  <c r="H53" i="22"/>
  <c r="H52" i="22"/>
  <c r="H51" i="22"/>
  <c r="H50" i="22"/>
  <c r="H49" i="22"/>
  <c r="H48" i="22"/>
  <c r="D47" i="22"/>
  <c r="C47" i="22"/>
  <c r="B47" i="22"/>
  <c r="H46" i="22"/>
  <c r="H45" i="22"/>
  <c r="H44" i="22"/>
  <c r="H43" i="22"/>
  <c r="H42" i="22"/>
  <c r="H41" i="22"/>
  <c r="H40" i="22"/>
  <c r="H39" i="22"/>
  <c r="H38" i="22"/>
  <c r="D37" i="22"/>
  <c r="C37" i="22"/>
  <c r="B37" i="22"/>
  <c r="H36" i="22"/>
  <c r="H35" i="22"/>
  <c r="H34" i="22"/>
  <c r="H33" i="22"/>
  <c r="H32" i="22"/>
  <c r="H31" i="22"/>
  <c r="H30" i="22"/>
  <c r="H29" i="22"/>
  <c r="H28" i="22"/>
  <c r="D27" i="22"/>
  <c r="C27" i="22"/>
  <c r="B27" i="22"/>
  <c r="H26" i="22"/>
  <c r="H25" i="22"/>
  <c r="H24" i="22"/>
  <c r="H23" i="22"/>
  <c r="H22" i="22"/>
  <c r="H21" i="22"/>
  <c r="H20" i="22"/>
  <c r="H19" i="22"/>
  <c r="G18" i="22"/>
  <c r="G7" i="22" s="1"/>
  <c r="F18" i="22"/>
  <c r="F7" i="22" s="1"/>
  <c r="E18" i="22"/>
  <c r="E7" i="22" s="1"/>
  <c r="D18" i="22"/>
  <c r="C18" i="22"/>
  <c r="B18" i="22"/>
  <c r="H17" i="22"/>
  <c r="H16" i="22"/>
  <c r="D15" i="22"/>
  <c r="C15" i="22"/>
  <c r="B15" i="22"/>
  <c r="H15" i="22" s="1"/>
  <c r="H14" i="22"/>
  <c r="H13" i="22"/>
  <c r="H12" i="22"/>
  <c r="H11" i="22"/>
  <c r="H10" i="22"/>
  <c r="D9" i="22"/>
  <c r="C9" i="22"/>
  <c r="B9" i="22"/>
  <c r="B8" i="22" s="1"/>
  <c r="C8" i="22"/>
  <c r="H53" i="23"/>
  <c r="H52" i="23"/>
  <c r="H51" i="23"/>
  <c r="H50" i="23"/>
  <c r="H49" i="23"/>
  <c r="H48" i="23"/>
  <c r="D47" i="23"/>
  <c r="C47" i="23"/>
  <c r="B47" i="23"/>
  <c r="H47" i="23" s="1"/>
  <c r="H46" i="23"/>
  <c r="H45" i="23"/>
  <c r="H44" i="23"/>
  <c r="H43" i="23"/>
  <c r="H42" i="23"/>
  <c r="H41" i="23"/>
  <c r="H40" i="23"/>
  <c r="H39" i="23"/>
  <c r="H38" i="23"/>
  <c r="D37" i="23"/>
  <c r="C37" i="23"/>
  <c r="H37" i="23" s="1"/>
  <c r="B37" i="23"/>
  <c r="H36" i="23"/>
  <c r="H35" i="23"/>
  <c r="H34" i="23"/>
  <c r="H33" i="23"/>
  <c r="H32" i="23"/>
  <c r="H31" i="23"/>
  <c r="H30" i="23"/>
  <c r="H29" i="23"/>
  <c r="H28" i="23"/>
  <c r="D27" i="23"/>
  <c r="C27" i="23"/>
  <c r="B27" i="23"/>
  <c r="H27" i="23" s="1"/>
  <c r="H26" i="23"/>
  <c r="H25" i="23"/>
  <c r="H24" i="23"/>
  <c r="H23" i="23"/>
  <c r="H22" i="23"/>
  <c r="H21" i="23"/>
  <c r="H20" i="23"/>
  <c r="H19" i="23"/>
  <c r="G18" i="23"/>
  <c r="G7" i="23" s="1"/>
  <c r="F18" i="23"/>
  <c r="F7" i="23" s="1"/>
  <c r="E18" i="23"/>
  <c r="E7" i="23" s="1"/>
  <c r="D18" i="23"/>
  <c r="C18" i="23"/>
  <c r="B18" i="23"/>
  <c r="H17" i="23"/>
  <c r="H16" i="23"/>
  <c r="D15" i="23"/>
  <c r="C15" i="23"/>
  <c r="H15" i="23" s="1"/>
  <c r="B15" i="23"/>
  <c r="H14" i="23"/>
  <c r="H13" i="23"/>
  <c r="H12" i="23"/>
  <c r="H11" i="23"/>
  <c r="H10" i="23"/>
  <c r="D9" i="23"/>
  <c r="D8" i="23" s="1"/>
  <c r="C9" i="23"/>
  <c r="C8" i="23" s="1"/>
  <c r="B9" i="23"/>
  <c r="B8" i="23"/>
  <c r="H53" i="25"/>
  <c r="H52" i="25"/>
  <c r="H51" i="25"/>
  <c r="H50" i="25"/>
  <c r="H49" i="25"/>
  <c r="H48" i="25"/>
  <c r="D47" i="25"/>
  <c r="C47" i="25"/>
  <c r="B47" i="25"/>
  <c r="H47" i="25" s="1"/>
  <c r="H46" i="25"/>
  <c r="H45" i="25"/>
  <c r="H44" i="25"/>
  <c r="H43" i="25"/>
  <c r="H42" i="25"/>
  <c r="H41" i="25"/>
  <c r="H40" i="25"/>
  <c r="H39" i="25"/>
  <c r="H38" i="25"/>
  <c r="D37" i="25"/>
  <c r="C37" i="25"/>
  <c r="B37" i="25"/>
  <c r="H36" i="25"/>
  <c r="H35" i="25"/>
  <c r="H34" i="25"/>
  <c r="H33" i="25"/>
  <c r="H32" i="25"/>
  <c r="H31" i="25"/>
  <c r="H30" i="25"/>
  <c r="H29" i="25"/>
  <c r="H28" i="25"/>
  <c r="D27" i="25"/>
  <c r="C27" i="25"/>
  <c r="B27" i="25"/>
  <c r="H27" i="25" s="1"/>
  <c r="H26" i="25"/>
  <c r="H25" i="25"/>
  <c r="H24" i="25"/>
  <c r="H23" i="25"/>
  <c r="H22" i="25"/>
  <c r="H21" i="25"/>
  <c r="H20" i="25"/>
  <c r="H19" i="25"/>
  <c r="G18" i="25"/>
  <c r="G7" i="25" s="1"/>
  <c r="F18" i="25"/>
  <c r="F7" i="25" s="1"/>
  <c r="E18" i="25"/>
  <c r="E7" i="25" s="1"/>
  <c r="D18" i="25"/>
  <c r="C18" i="25"/>
  <c r="B18" i="25"/>
  <c r="H17" i="25"/>
  <c r="H16" i="25"/>
  <c r="D15" i="25"/>
  <c r="C15" i="25"/>
  <c r="B15" i="25"/>
  <c r="H15" i="25" s="1"/>
  <c r="H14" i="25"/>
  <c r="H13" i="25"/>
  <c r="H12" i="25"/>
  <c r="H11" i="25"/>
  <c r="H10" i="25"/>
  <c r="D9" i="25"/>
  <c r="C9" i="25"/>
  <c r="C8" i="25" s="1"/>
  <c r="B9" i="25"/>
  <c r="B8" i="25" s="1"/>
  <c r="B7" i="25" s="1"/>
  <c r="H53" i="26"/>
  <c r="H52" i="26"/>
  <c r="H51" i="26"/>
  <c r="H50" i="26"/>
  <c r="H49" i="26"/>
  <c r="H48" i="26"/>
  <c r="D47" i="26"/>
  <c r="C47" i="26"/>
  <c r="B47" i="26"/>
  <c r="H46" i="26"/>
  <c r="H45" i="26"/>
  <c r="H44" i="26"/>
  <c r="H43" i="26"/>
  <c r="H42" i="26"/>
  <c r="H41" i="26"/>
  <c r="H40" i="26"/>
  <c r="H39" i="26"/>
  <c r="H38" i="26"/>
  <c r="D37" i="26"/>
  <c r="C37" i="26"/>
  <c r="B37" i="26"/>
  <c r="H36" i="26"/>
  <c r="H35" i="26"/>
  <c r="H34" i="26"/>
  <c r="H33" i="26"/>
  <c r="H32" i="26"/>
  <c r="H31" i="26"/>
  <c r="H30" i="26"/>
  <c r="H29" i="26"/>
  <c r="H28" i="26"/>
  <c r="D27" i="26"/>
  <c r="C27" i="26"/>
  <c r="B27" i="26"/>
  <c r="H26" i="26"/>
  <c r="H25" i="26"/>
  <c r="H24" i="26"/>
  <c r="H23" i="26"/>
  <c r="H22" i="26"/>
  <c r="H21" i="26"/>
  <c r="H20" i="26"/>
  <c r="H19" i="26"/>
  <c r="G18" i="26"/>
  <c r="G7" i="26" s="1"/>
  <c r="F18" i="26"/>
  <c r="F7" i="26" s="1"/>
  <c r="E18" i="26"/>
  <c r="E7" i="26" s="1"/>
  <c r="D18" i="26"/>
  <c r="C18" i="26"/>
  <c r="B18" i="26"/>
  <c r="H17" i="26"/>
  <c r="H16" i="26"/>
  <c r="D15" i="26"/>
  <c r="C15" i="26"/>
  <c r="B15" i="26"/>
  <c r="H15" i="26" s="1"/>
  <c r="H14" i="26"/>
  <c r="H13" i="26"/>
  <c r="H12" i="26"/>
  <c r="H11" i="26"/>
  <c r="H10" i="26"/>
  <c r="D9" i="26"/>
  <c r="D8" i="26" s="1"/>
  <c r="C9" i="26"/>
  <c r="C8" i="26" s="1"/>
  <c r="B9" i="26"/>
  <c r="B8" i="26" s="1"/>
  <c r="H53" i="27"/>
  <c r="H52" i="27"/>
  <c r="H51" i="27"/>
  <c r="H50" i="27"/>
  <c r="H49" i="27"/>
  <c r="H48" i="27"/>
  <c r="D47" i="27"/>
  <c r="C47" i="27"/>
  <c r="B47" i="27"/>
  <c r="H46" i="27"/>
  <c r="H45" i="27"/>
  <c r="H44" i="27"/>
  <c r="H43" i="27"/>
  <c r="H42" i="27"/>
  <c r="H41" i="27"/>
  <c r="H40" i="27"/>
  <c r="H39" i="27"/>
  <c r="H38" i="27"/>
  <c r="D37" i="27"/>
  <c r="C37" i="27"/>
  <c r="B37" i="27"/>
  <c r="H36" i="27"/>
  <c r="H35" i="27"/>
  <c r="H34" i="27"/>
  <c r="H33" i="27"/>
  <c r="H32" i="27"/>
  <c r="H31" i="27"/>
  <c r="H30" i="27"/>
  <c r="H29" i="27"/>
  <c r="H28" i="27"/>
  <c r="D27" i="27"/>
  <c r="H27" i="27" s="1"/>
  <c r="C27" i="27"/>
  <c r="B27" i="27"/>
  <c r="H26" i="27"/>
  <c r="H25" i="27"/>
  <c r="H24" i="27"/>
  <c r="H23" i="27"/>
  <c r="H22" i="27"/>
  <c r="H21" i="27"/>
  <c r="H20" i="27"/>
  <c r="H19" i="27"/>
  <c r="G18" i="27"/>
  <c r="G7" i="27" s="1"/>
  <c r="F18" i="27"/>
  <c r="F7" i="27" s="1"/>
  <c r="E18" i="27"/>
  <c r="E7" i="27" s="1"/>
  <c r="D18" i="27"/>
  <c r="C18" i="27"/>
  <c r="B18" i="27"/>
  <c r="H17" i="27"/>
  <c r="H16" i="27"/>
  <c r="D15" i="27"/>
  <c r="C15" i="27"/>
  <c r="B15" i="27"/>
  <c r="H14" i="27"/>
  <c r="H13" i="27"/>
  <c r="H12" i="27"/>
  <c r="H11" i="27"/>
  <c r="H10" i="27"/>
  <c r="D9" i="27"/>
  <c r="C9" i="27"/>
  <c r="C8" i="27" s="1"/>
  <c r="B9" i="27"/>
  <c r="B8" i="27" s="1"/>
  <c r="D8" i="27"/>
  <c r="H53" i="28"/>
  <c r="H52" i="28"/>
  <c r="H51" i="28"/>
  <c r="H50" i="28"/>
  <c r="H49" i="28"/>
  <c r="H48" i="28"/>
  <c r="D47" i="28"/>
  <c r="C47" i="28"/>
  <c r="B47" i="28"/>
  <c r="H46" i="28"/>
  <c r="H45" i="28"/>
  <c r="H44" i="28"/>
  <c r="H43" i="28"/>
  <c r="H42" i="28"/>
  <c r="H41" i="28"/>
  <c r="H40" i="28"/>
  <c r="H39" i="28"/>
  <c r="H38" i="28"/>
  <c r="D37" i="28"/>
  <c r="C37" i="28"/>
  <c r="H37" i="28" s="1"/>
  <c r="B37" i="28"/>
  <c r="H36" i="28"/>
  <c r="H35" i="28"/>
  <c r="H34" i="28"/>
  <c r="H33" i="28"/>
  <c r="H32" i="28"/>
  <c r="H31" i="28"/>
  <c r="H30" i="28"/>
  <c r="H29" i="28"/>
  <c r="H28" i="28"/>
  <c r="D27" i="28"/>
  <c r="C27" i="28"/>
  <c r="B27" i="28"/>
  <c r="H26" i="28"/>
  <c r="H25" i="28"/>
  <c r="H24" i="28"/>
  <c r="H23" i="28"/>
  <c r="H22" i="28"/>
  <c r="H21" i="28"/>
  <c r="H20" i="28"/>
  <c r="H19" i="28"/>
  <c r="G18" i="28"/>
  <c r="G7" i="28" s="1"/>
  <c r="F18" i="28"/>
  <c r="F7" i="28" s="1"/>
  <c r="E18" i="28"/>
  <c r="E7" i="28" s="1"/>
  <c r="D18" i="28"/>
  <c r="C18" i="28"/>
  <c r="H18" i="28" s="1"/>
  <c r="B18" i="28"/>
  <c r="H17" i="28"/>
  <c r="H16" i="28"/>
  <c r="D15" i="28"/>
  <c r="C15" i="28"/>
  <c r="H15" i="28" s="1"/>
  <c r="B15" i="28"/>
  <c r="H14" i="28"/>
  <c r="H13" i="28"/>
  <c r="H12" i="28"/>
  <c r="H11" i="28"/>
  <c r="H10" i="28"/>
  <c r="D9" i="28"/>
  <c r="C9" i="28"/>
  <c r="C8" i="28" s="1"/>
  <c r="B9" i="28"/>
  <c r="B8" i="28" s="1"/>
  <c r="B7" i="28" s="1"/>
  <c r="D8" i="28"/>
  <c r="D7" i="28" s="1"/>
  <c r="H53" i="29"/>
  <c r="H52" i="29"/>
  <c r="H51" i="29"/>
  <c r="H50" i="29"/>
  <c r="H49" i="29"/>
  <c r="H48" i="29"/>
  <c r="D47" i="29"/>
  <c r="C47" i="29"/>
  <c r="B47" i="29"/>
  <c r="H47" i="29" s="1"/>
  <c r="H46" i="29"/>
  <c r="H45" i="29"/>
  <c r="H44" i="29"/>
  <c r="H43" i="29"/>
  <c r="H42" i="29"/>
  <c r="H41" i="29"/>
  <c r="H40" i="29"/>
  <c r="H39" i="29"/>
  <c r="H38" i="29"/>
  <c r="D37" i="29"/>
  <c r="C37" i="29"/>
  <c r="B37" i="29"/>
  <c r="H36" i="29"/>
  <c r="H35" i="29"/>
  <c r="H34" i="29"/>
  <c r="H33" i="29"/>
  <c r="H32" i="29"/>
  <c r="H31" i="29"/>
  <c r="H30" i="29"/>
  <c r="H29" i="29"/>
  <c r="H28" i="29"/>
  <c r="D27" i="29"/>
  <c r="C27" i="29"/>
  <c r="B27" i="29"/>
  <c r="H26" i="29"/>
  <c r="H25" i="29"/>
  <c r="H24" i="29"/>
  <c r="H23" i="29"/>
  <c r="H22" i="29"/>
  <c r="H21" i="29"/>
  <c r="H20" i="29"/>
  <c r="H19" i="29"/>
  <c r="G18" i="29"/>
  <c r="G7" i="29" s="1"/>
  <c r="F18" i="29"/>
  <c r="F7" i="29" s="1"/>
  <c r="E18" i="29"/>
  <c r="E7" i="29" s="1"/>
  <c r="D18" i="29"/>
  <c r="C18" i="29"/>
  <c r="B18" i="29"/>
  <c r="H17" i="29"/>
  <c r="H16" i="29"/>
  <c r="D15" i="29"/>
  <c r="D8" i="29" s="1"/>
  <c r="C15" i="29"/>
  <c r="B15" i="29"/>
  <c r="H14" i="29"/>
  <c r="H13" i="29"/>
  <c r="H12" i="29"/>
  <c r="H11" i="29"/>
  <c r="H10" i="29"/>
  <c r="D9" i="29"/>
  <c r="C9" i="29"/>
  <c r="C8" i="29" s="1"/>
  <c r="B9" i="29"/>
  <c r="B8" i="29" s="1"/>
  <c r="H53" i="30"/>
  <c r="H52" i="30"/>
  <c r="H51" i="30"/>
  <c r="H50" i="30"/>
  <c r="H49" i="30"/>
  <c r="H48" i="30"/>
  <c r="D47" i="30"/>
  <c r="C47" i="30"/>
  <c r="B47" i="30"/>
  <c r="H46" i="30"/>
  <c r="H45" i="30"/>
  <c r="H44" i="30"/>
  <c r="H43" i="30"/>
  <c r="H42" i="30"/>
  <c r="H41" i="30"/>
  <c r="H40" i="30"/>
  <c r="H39" i="30"/>
  <c r="H38" i="30"/>
  <c r="D37" i="30"/>
  <c r="C37" i="30"/>
  <c r="B37" i="30"/>
  <c r="H36" i="30"/>
  <c r="H35" i="30"/>
  <c r="H34" i="30"/>
  <c r="H33" i="30"/>
  <c r="H32" i="30"/>
  <c r="H31" i="30"/>
  <c r="H30" i="30"/>
  <c r="H29" i="30"/>
  <c r="H28" i="30"/>
  <c r="H27" i="30"/>
  <c r="D27" i="30"/>
  <c r="C27" i="30"/>
  <c r="B27" i="30"/>
  <c r="H26" i="30"/>
  <c r="H25" i="30"/>
  <c r="H24" i="30"/>
  <c r="H23" i="30"/>
  <c r="H22" i="30"/>
  <c r="H21" i="30"/>
  <c r="H20" i="30"/>
  <c r="H19" i="30"/>
  <c r="G18" i="30"/>
  <c r="G7" i="30" s="1"/>
  <c r="F18" i="30"/>
  <c r="F7" i="30" s="1"/>
  <c r="E18" i="30"/>
  <c r="E7" i="30" s="1"/>
  <c r="D18" i="30"/>
  <c r="C18" i="30"/>
  <c r="B18" i="30"/>
  <c r="H17" i="30"/>
  <c r="H16" i="30"/>
  <c r="D15" i="30"/>
  <c r="C15" i="30"/>
  <c r="B15" i="30"/>
  <c r="H15" i="30" s="1"/>
  <c r="H14" i="30"/>
  <c r="H13" i="30"/>
  <c r="H12" i="30"/>
  <c r="H11" i="30"/>
  <c r="H10" i="30"/>
  <c r="D9" i="30"/>
  <c r="C9" i="30"/>
  <c r="C8" i="30" s="1"/>
  <c r="B9" i="30"/>
  <c r="H53" i="31"/>
  <c r="H52" i="31"/>
  <c r="H51" i="31"/>
  <c r="H50" i="31"/>
  <c r="H49" i="31"/>
  <c r="H48" i="31"/>
  <c r="D47" i="31"/>
  <c r="H47" i="31" s="1"/>
  <c r="C47" i="31"/>
  <c r="B47" i="31"/>
  <c r="H46" i="31"/>
  <c r="H45" i="31"/>
  <c r="H44" i="31"/>
  <c r="H43" i="31"/>
  <c r="H42" i="31"/>
  <c r="H41" i="31"/>
  <c r="H40" i="31"/>
  <c r="H39" i="31"/>
  <c r="H38" i="31"/>
  <c r="D37" i="31"/>
  <c r="C37" i="31"/>
  <c r="B37" i="31"/>
  <c r="H36" i="31"/>
  <c r="H35" i="31"/>
  <c r="H34" i="31"/>
  <c r="H33" i="31"/>
  <c r="H32" i="31"/>
  <c r="H31" i="31"/>
  <c r="H30" i="31"/>
  <c r="H29" i="31"/>
  <c r="H28" i="31"/>
  <c r="D27" i="31"/>
  <c r="C27" i="31"/>
  <c r="B27" i="31"/>
  <c r="H26" i="31"/>
  <c r="H25" i="31"/>
  <c r="H24" i="31"/>
  <c r="H23" i="31"/>
  <c r="H22" i="31"/>
  <c r="H21" i="31"/>
  <c r="H20" i="31"/>
  <c r="H19" i="31"/>
  <c r="G18" i="31"/>
  <c r="G7" i="31" s="1"/>
  <c r="F18" i="31"/>
  <c r="F7" i="31" s="1"/>
  <c r="E18" i="31"/>
  <c r="E7" i="31" s="1"/>
  <c r="D18" i="31"/>
  <c r="C18" i="31"/>
  <c r="B18" i="31"/>
  <c r="H17" i="31"/>
  <c r="H16" i="31"/>
  <c r="D15" i="31"/>
  <c r="C15" i="31"/>
  <c r="B15" i="31"/>
  <c r="H14" i="31"/>
  <c r="H13" i="31"/>
  <c r="H12" i="31"/>
  <c r="H11" i="31"/>
  <c r="H10" i="31"/>
  <c r="D9" i="31"/>
  <c r="C9" i="31"/>
  <c r="B9" i="31"/>
  <c r="B8" i="31" s="1"/>
  <c r="H53" i="34"/>
  <c r="H52" i="34"/>
  <c r="H51" i="34"/>
  <c r="H50" i="34"/>
  <c r="H49" i="34"/>
  <c r="H48" i="34"/>
  <c r="D47" i="34"/>
  <c r="C47" i="34"/>
  <c r="B47" i="34"/>
  <c r="H46" i="34"/>
  <c r="H45" i="34"/>
  <c r="H44" i="34"/>
  <c r="H43" i="34"/>
  <c r="H42" i="34"/>
  <c r="H41" i="34"/>
  <c r="H40" i="34"/>
  <c r="H39" i="34"/>
  <c r="H38" i="34"/>
  <c r="D37" i="34"/>
  <c r="C37" i="34"/>
  <c r="B37" i="34"/>
  <c r="H36" i="34"/>
  <c r="H35" i="34"/>
  <c r="H34" i="34"/>
  <c r="H33" i="34"/>
  <c r="H32" i="34"/>
  <c r="H31" i="34"/>
  <c r="H30" i="34"/>
  <c r="H29" i="34"/>
  <c r="H28" i="34"/>
  <c r="D27" i="34"/>
  <c r="C27" i="34"/>
  <c r="B27" i="34"/>
  <c r="H27" i="34" s="1"/>
  <c r="H26" i="34"/>
  <c r="H25" i="34"/>
  <c r="H24" i="34"/>
  <c r="H23" i="34"/>
  <c r="H22" i="34"/>
  <c r="H21" i="34"/>
  <c r="H20" i="34"/>
  <c r="H19" i="34"/>
  <c r="G18" i="34"/>
  <c r="G7" i="34" s="1"/>
  <c r="F18" i="34"/>
  <c r="F7" i="34" s="1"/>
  <c r="E18" i="34"/>
  <c r="D18" i="34"/>
  <c r="C18" i="34"/>
  <c r="B18" i="34"/>
  <c r="H17" i="34"/>
  <c r="H16" i="34"/>
  <c r="D15" i="34"/>
  <c r="C15" i="34"/>
  <c r="B15" i="34"/>
  <c r="H14" i="34"/>
  <c r="H13" i="34"/>
  <c r="H12" i="34"/>
  <c r="H11" i="34"/>
  <c r="H10" i="34"/>
  <c r="D9" i="34"/>
  <c r="C9" i="34"/>
  <c r="B9" i="34"/>
  <c r="B8" i="34"/>
  <c r="H53" i="37"/>
  <c r="H52" i="37"/>
  <c r="H51" i="37"/>
  <c r="H50" i="37"/>
  <c r="H49" i="37"/>
  <c r="H48" i="37"/>
  <c r="D47" i="37"/>
  <c r="C47" i="37"/>
  <c r="B47" i="37"/>
  <c r="H36" i="37"/>
  <c r="H35" i="37"/>
  <c r="H34" i="37"/>
  <c r="H33" i="37"/>
  <c r="H32" i="37"/>
  <c r="H31" i="37"/>
  <c r="H30" i="37"/>
  <c r="H29" i="37"/>
  <c r="H28" i="37"/>
  <c r="D27" i="37"/>
  <c r="C27" i="37"/>
  <c r="B27" i="37"/>
  <c r="H26" i="37"/>
  <c r="H25" i="37"/>
  <c r="H24" i="37"/>
  <c r="H23" i="37"/>
  <c r="H22" i="37"/>
  <c r="H21" i="37"/>
  <c r="H20" i="37"/>
  <c r="H19" i="37"/>
  <c r="G18" i="37"/>
  <c r="G7" i="37" s="1"/>
  <c r="F18" i="37"/>
  <c r="F7" i="37" s="1"/>
  <c r="E18" i="37"/>
  <c r="E7" i="37" s="1"/>
  <c r="D18" i="37"/>
  <c r="C18" i="37"/>
  <c r="B18" i="37"/>
  <c r="H17" i="37"/>
  <c r="H16" i="37"/>
  <c r="D15" i="37"/>
  <c r="C15" i="37"/>
  <c r="B15" i="37"/>
  <c r="H14" i="37"/>
  <c r="H13" i="37"/>
  <c r="H12" i="37"/>
  <c r="H11" i="37"/>
  <c r="H10" i="37"/>
  <c r="D9" i="37"/>
  <c r="D8" i="37" s="1"/>
  <c r="C9" i="37"/>
  <c r="C8" i="37" s="1"/>
  <c r="B9" i="37"/>
  <c r="B8" i="37" s="1"/>
  <c r="B7" i="1" l="1"/>
  <c r="H37" i="1"/>
  <c r="H9" i="1"/>
  <c r="D8" i="1"/>
  <c r="D7" i="1" s="1"/>
  <c r="H7" i="1" s="1"/>
  <c r="H27" i="1"/>
  <c r="H18" i="1"/>
  <c r="H8" i="2"/>
  <c r="C7" i="2"/>
  <c r="D8" i="2"/>
  <c r="D7" i="2" s="1"/>
  <c r="H9" i="2"/>
  <c r="H15" i="2"/>
  <c r="H18" i="2"/>
  <c r="H37" i="2"/>
  <c r="B7" i="2"/>
  <c r="H8" i="3"/>
  <c r="D7" i="3"/>
  <c r="H9" i="3"/>
  <c r="D8" i="3"/>
  <c r="H27" i="3"/>
  <c r="H18" i="3"/>
  <c r="C7" i="3"/>
  <c r="H37" i="3"/>
  <c r="B7" i="3"/>
  <c r="C7" i="4"/>
  <c r="H9" i="4"/>
  <c r="D8" i="4"/>
  <c r="D7" i="4" s="1"/>
  <c r="H27" i="4"/>
  <c r="H18" i="4"/>
  <c r="B8" i="4"/>
  <c r="B7" i="4" s="1"/>
  <c r="H7" i="4" s="1"/>
  <c r="H37" i="4"/>
  <c r="D7" i="5"/>
  <c r="H8" i="5"/>
  <c r="B7" i="5"/>
  <c r="H27" i="5"/>
  <c r="H9" i="5"/>
  <c r="H37" i="5"/>
  <c r="C7" i="6"/>
  <c r="H9" i="6"/>
  <c r="D8" i="6"/>
  <c r="D7" i="6" s="1"/>
  <c r="H27" i="6"/>
  <c r="B8" i="6"/>
  <c r="B7" i="6" s="1"/>
  <c r="H37" i="6"/>
  <c r="B7" i="7"/>
  <c r="H7" i="7" s="1"/>
  <c r="H27" i="7"/>
  <c r="H47" i="7"/>
  <c r="H18" i="7"/>
  <c r="H37" i="7"/>
  <c r="D7" i="8"/>
  <c r="C7" i="8"/>
  <c r="B7" i="8"/>
  <c r="H15" i="8"/>
  <c r="H27" i="8"/>
  <c r="B7" i="9"/>
  <c r="D7" i="9"/>
  <c r="H27" i="9"/>
  <c r="H47" i="9"/>
  <c r="H37" i="9"/>
  <c r="C7" i="9"/>
  <c r="H37" i="10"/>
  <c r="D7" i="10"/>
  <c r="H18" i="10"/>
  <c r="H15" i="10"/>
  <c r="H27" i="10"/>
  <c r="H27" i="11"/>
  <c r="H18" i="11"/>
  <c r="B7" i="11"/>
  <c r="C7" i="11"/>
  <c r="H37" i="11"/>
  <c r="D7" i="11"/>
  <c r="H27" i="12"/>
  <c r="B7" i="12"/>
  <c r="H7" i="12" s="1"/>
  <c r="H18" i="12"/>
  <c r="H9" i="12"/>
  <c r="C8" i="12"/>
  <c r="C7" i="12" s="1"/>
  <c r="H37" i="12"/>
  <c r="H27" i="13"/>
  <c r="H18" i="13"/>
  <c r="C7" i="13"/>
  <c r="D7" i="13"/>
  <c r="H37" i="13"/>
  <c r="B7" i="13"/>
  <c r="C8" i="14"/>
  <c r="H47" i="14"/>
  <c r="H18" i="14"/>
  <c r="H15" i="14"/>
  <c r="C7" i="14"/>
  <c r="H37" i="14"/>
  <c r="D7" i="14"/>
  <c r="D7" i="15"/>
  <c r="H37" i="15"/>
  <c r="B7" i="15"/>
  <c r="H15" i="15"/>
  <c r="C7" i="15"/>
  <c r="H27" i="15"/>
  <c r="H18" i="16"/>
  <c r="B7" i="16"/>
  <c r="H7" i="16" s="1"/>
  <c r="H15" i="16"/>
  <c r="C8" i="16"/>
  <c r="C7" i="16" s="1"/>
  <c r="D7" i="17"/>
  <c r="H47" i="17"/>
  <c r="H18" i="17"/>
  <c r="H37" i="17"/>
  <c r="B7" i="17"/>
  <c r="H15" i="18"/>
  <c r="C7" i="18"/>
  <c r="D8" i="18"/>
  <c r="D7" i="18" s="1"/>
  <c r="H27" i="18"/>
  <c r="H18" i="18"/>
  <c r="H37" i="18"/>
  <c r="B7" i="18"/>
  <c r="H27" i="19"/>
  <c r="B7" i="19"/>
  <c r="D7" i="19"/>
  <c r="H37" i="19"/>
  <c r="C7" i="19"/>
  <c r="D8" i="20"/>
  <c r="D7" i="20"/>
  <c r="B8" i="20"/>
  <c r="B7" i="20" s="1"/>
  <c r="C7" i="20"/>
  <c r="H37" i="20"/>
  <c r="H9" i="21"/>
  <c r="D8" i="21"/>
  <c r="H27" i="21"/>
  <c r="H18" i="21"/>
  <c r="B8" i="21"/>
  <c r="C7" i="21"/>
  <c r="D7" i="21"/>
  <c r="H37" i="21"/>
  <c r="B7" i="21"/>
  <c r="B7" i="22"/>
  <c r="D8" i="22"/>
  <c r="H8" i="22" s="1"/>
  <c r="D7" i="22"/>
  <c r="H47" i="22"/>
  <c r="H27" i="22"/>
  <c r="H18" i="22"/>
  <c r="H37" i="22"/>
  <c r="C7" i="22"/>
  <c r="D7" i="23"/>
  <c r="C7" i="23"/>
  <c r="H8" i="23"/>
  <c r="B7" i="23"/>
  <c r="H18" i="23"/>
  <c r="H9" i="23"/>
  <c r="C7" i="25"/>
  <c r="H7" i="25" s="1"/>
  <c r="D8" i="25"/>
  <c r="D7" i="25" s="1"/>
  <c r="H18" i="25"/>
  <c r="H37" i="25"/>
  <c r="H18" i="26"/>
  <c r="D7" i="26"/>
  <c r="B7" i="26"/>
  <c r="H27" i="26"/>
  <c r="H47" i="26"/>
  <c r="H37" i="26"/>
  <c r="C7" i="26"/>
  <c r="H37" i="27"/>
  <c r="D7" i="27"/>
  <c r="B7" i="27"/>
  <c r="H15" i="27"/>
  <c r="C7" i="27"/>
  <c r="H47" i="27"/>
  <c r="H18" i="27"/>
  <c r="C7" i="28"/>
  <c r="H7" i="28" s="1"/>
  <c r="H27" i="28"/>
  <c r="H47" i="28"/>
  <c r="H27" i="29"/>
  <c r="H18" i="29"/>
  <c r="D7" i="29"/>
  <c r="C7" i="29"/>
  <c r="H9" i="29"/>
  <c r="H37" i="29"/>
  <c r="B7" i="29"/>
  <c r="H37" i="30"/>
  <c r="H47" i="30"/>
  <c r="H18" i="30"/>
  <c r="C7" i="30"/>
  <c r="D8" i="30"/>
  <c r="D7" i="30" s="1"/>
  <c r="H9" i="31"/>
  <c r="H27" i="31"/>
  <c r="H15" i="31"/>
  <c r="H18" i="31"/>
  <c r="H37" i="31"/>
  <c r="B7" i="31"/>
  <c r="H47" i="34"/>
  <c r="H18" i="34"/>
  <c r="E7" i="34"/>
  <c r="C8" i="34"/>
  <c r="C7" i="34" s="1"/>
  <c r="D8" i="34"/>
  <c r="D7" i="34" s="1"/>
  <c r="D7" i="37"/>
  <c r="C7" i="37"/>
  <c r="H37" i="34"/>
  <c r="B7" i="34"/>
  <c r="H8" i="37"/>
  <c r="B7" i="37"/>
  <c r="H9" i="37"/>
  <c r="H15" i="37"/>
  <c r="H27" i="37"/>
  <c r="H47" i="37"/>
  <c r="H18" i="37"/>
  <c r="H8" i="1"/>
  <c r="H15" i="1"/>
  <c r="H15" i="3"/>
  <c r="H8" i="4"/>
  <c r="H8" i="7"/>
  <c r="H9" i="7"/>
  <c r="H8" i="8"/>
  <c r="H9" i="8"/>
  <c r="H8" i="9"/>
  <c r="H9" i="10"/>
  <c r="B8" i="10"/>
  <c r="B7" i="10" s="1"/>
  <c r="H8" i="11"/>
  <c r="H9" i="11"/>
  <c r="H15" i="13"/>
  <c r="B8" i="14"/>
  <c r="B7" i="14" s="1"/>
  <c r="H8" i="15"/>
  <c r="H9" i="15"/>
  <c r="H8" i="16"/>
  <c r="H9" i="16"/>
  <c r="H8" i="17"/>
  <c r="H9" i="17"/>
  <c r="H8" i="18"/>
  <c r="H9" i="18"/>
  <c r="H8" i="19"/>
  <c r="H9" i="19"/>
  <c r="H8" i="20"/>
  <c r="H15" i="20"/>
  <c r="H8" i="21"/>
  <c r="H9" i="22"/>
  <c r="H9" i="25"/>
  <c r="H8" i="26"/>
  <c r="H9" i="26"/>
  <c r="H8" i="27"/>
  <c r="H9" i="27"/>
  <c r="H8" i="28"/>
  <c r="H9" i="28"/>
  <c r="H8" i="29"/>
  <c r="H15" i="29"/>
  <c r="H9" i="30"/>
  <c r="B8" i="30"/>
  <c r="B7" i="30" s="1"/>
  <c r="H7" i="30" s="1"/>
  <c r="C8" i="31"/>
  <c r="C7" i="31" s="1"/>
  <c r="D8" i="31"/>
  <c r="D7" i="31" s="1"/>
  <c r="H9" i="34"/>
  <c r="H15" i="34"/>
  <c r="H7" i="2" l="1"/>
  <c r="H7" i="3"/>
  <c r="H7" i="5"/>
  <c r="H7" i="6"/>
  <c r="H8" i="6"/>
  <c r="H7" i="8"/>
  <c r="H7" i="9"/>
  <c r="H7" i="10"/>
  <c r="H7" i="11"/>
  <c r="H8" i="12"/>
  <c r="H7" i="13"/>
  <c r="H7" i="14"/>
  <c r="H7" i="15"/>
  <c r="H7" i="17"/>
  <c r="H7" i="18"/>
  <c r="H7" i="19"/>
  <c r="H7" i="20"/>
  <c r="H7" i="21"/>
  <c r="H7" i="22"/>
  <c r="H7" i="23"/>
  <c r="H8" i="25"/>
  <c r="H7" i="26"/>
  <c r="H7" i="27"/>
  <c r="H7" i="29"/>
  <c r="H7" i="31"/>
  <c r="H8" i="34"/>
  <c r="H7" i="37"/>
  <c r="H7" i="34"/>
  <c r="H8" i="10"/>
  <c r="H8" i="14"/>
  <c r="H8" i="30"/>
  <c r="H8" i="31"/>
</calcChain>
</file>

<file path=xl/sharedStrings.xml><?xml version="1.0" encoding="utf-8"?>
<sst xmlns="http://schemas.openxmlformats.org/spreadsheetml/2006/main" count="2078" uniqueCount="129">
  <si>
    <t>GASES DE EFECTO INVERNADERO</t>
  </si>
  <si>
    <t>HFCs</t>
  </si>
  <si>
    <t>PFCs</t>
  </si>
  <si>
    <t xml:space="preserve">Total </t>
  </si>
  <si>
    <t>CATEGORÍAS DE ACTIVIDAD</t>
  </si>
  <si>
    <t>1. Procesado de la energía</t>
  </si>
  <si>
    <t>A.  Actividades de combustión</t>
  </si>
  <si>
    <t>1.  Industrias del Sector Energético</t>
  </si>
  <si>
    <t>2.  Industrias manufactureras y de la construcción</t>
  </si>
  <si>
    <t>3.  Transporte</t>
  </si>
  <si>
    <t>4.  Otros Sectores</t>
  </si>
  <si>
    <t>5. Otros</t>
  </si>
  <si>
    <t>B.  Emisiones fugitivas de los combustibles</t>
  </si>
  <si>
    <t>1. Combustibles sólidos</t>
  </si>
  <si>
    <t>2. Petróleo y gas natural</t>
  </si>
  <si>
    <t>2.. Procesos Industriales</t>
  </si>
  <si>
    <t>A.  Productos Minerales</t>
  </si>
  <si>
    <t>B.  Industria química</t>
  </si>
  <si>
    <t xml:space="preserve">C.  Producción metalúrgica  </t>
  </si>
  <si>
    <t>A.  Fermentación entérica</t>
  </si>
  <si>
    <t>B. Gestión del estiércol</t>
  </si>
  <si>
    <t>C.  Cultivo de arroz</t>
  </si>
  <si>
    <t>D. Suelos agrícolas</t>
  </si>
  <si>
    <t>F.  Quema en el campo de residuos agrícolas</t>
  </si>
  <si>
    <t>A.  Depósito en vertederos</t>
  </si>
  <si>
    <t>C.  Incineración de residuos</t>
  </si>
  <si>
    <r>
      <t>EMISIONES DE CO</t>
    </r>
    <r>
      <rPr>
        <b/>
        <vertAlign val="subscript"/>
        <sz val="12"/>
        <rFont val="Times New Roman"/>
        <family val="1"/>
      </rPr>
      <t>2</t>
    </r>
    <r>
      <rPr>
        <b/>
        <sz val="12"/>
        <rFont val="Times New Roman"/>
        <family val="1"/>
      </rPr>
      <t xml:space="preserve"> EQUIVALENTE</t>
    </r>
  </si>
  <si>
    <r>
      <t>CO</t>
    </r>
    <r>
      <rPr>
        <b/>
        <vertAlign val="subscript"/>
        <sz val="9"/>
        <color indexed="8"/>
        <rFont val="Times New Roman"/>
        <family val="1"/>
      </rPr>
      <t>2</t>
    </r>
  </si>
  <si>
    <r>
      <t>CH</t>
    </r>
    <r>
      <rPr>
        <b/>
        <vertAlign val="subscript"/>
        <sz val="9"/>
        <color indexed="8"/>
        <rFont val="Times New Roman"/>
        <family val="1"/>
      </rPr>
      <t>4</t>
    </r>
  </si>
  <si>
    <r>
      <t>N</t>
    </r>
    <r>
      <rPr>
        <b/>
        <vertAlign val="subscript"/>
        <sz val="9"/>
        <color indexed="8"/>
        <rFont val="Times New Roman"/>
        <family val="1"/>
      </rPr>
      <t>2</t>
    </r>
    <r>
      <rPr>
        <b/>
        <sz val="9"/>
        <color indexed="8"/>
        <rFont val="Times New Roman"/>
        <family val="1"/>
      </rPr>
      <t>O</t>
    </r>
  </si>
  <si>
    <r>
      <t>SF</t>
    </r>
    <r>
      <rPr>
        <b/>
        <vertAlign val="subscript"/>
        <sz val="9"/>
        <color indexed="8"/>
        <rFont val="Times New Roman"/>
        <family val="1"/>
      </rPr>
      <t>6</t>
    </r>
  </si>
  <si>
    <r>
      <t>CO</t>
    </r>
    <r>
      <rPr>
        <b/>
        <vertAlign val="subscript"/>
        <sz val="9"/>
        <color indexed="8"/>
        <rFont val="Times New Roman"/>
        <family val="1"/>
      </rPr>
      <t>2</t>
    </r>
    <r>
      <rPr>
        <b/>
        <sz val="9"/>
        <color indexed="8"/>
        <rFont val="Times New Roman"/>
        <family val="1"/>
      </rPr>
      <t xml:space="preserve"> equivalente (Kilotoneladas)</t>
    </r>
  </si>
  <si>
    <t>D.  Productos no energéticos y uso de disolventes</t>
  </si>
  <si>
    <t>E.  Industria electrónica</t>
  </si>
  <si>
    <t>G. producción y uso de otros productos</t>
  </si>
  <si>
    <t>H.  Otros</t>
  </si>
  <si>
    <t>F.  Uso de sustitutivos de los GEIs</t>
  </si>
  <si>
    <t>E.  Quemas planificadas de sabanas</t>
  </si>
  <si>
    <t>3.  Agricultura</t>
  </si>
  <si>
    <t>4.  Cambios de uso del suelo y silvicultura</t>
  </si>
  <si>
    <t>5.  Tratamiento y eliminación de residuos</t>
  </si>
  <si>
    <t>6.  Otros</t>
  </si>
  <si>
    <t>D.  Tratmiento de aguas residuales</t>
  </si>
  <si>
    <t>B.  Tratmiento biológico de residuos sólidos</t>
  </si>
  <si>
    <t>E.  Otros</t>
  </si>
  <si>
    <t>CO2 equivalente (Kilotoneladas)</t>
  </si>
  <si>
    <t>G. Enmiendas calizas</t>
  </si>
  <si>
    <t>H. Fertilización con urea</t>
  </si>
  <si>
    <t>I. Aplicación fertilizante con carbono</t>
  </si>
  <si>
    <t>Catalunya</t>
  </si>
  <si>
    <t>Any 1990</t>
  </si>
  <si>
    <t>Any 1991</t>
  </si>
  <si>
    <t>Any 1992</t>
  </si>
  <si>
    <t>Any 1993</t>
  </si>
  <si>
    <t>Any 1994</t>
  </si>
  <si>
    <t>Any 1995</t>
  </si>
  <si>
    <t>Any 1996</t>
  </si>
  <si>
    <t>Any 1997</t>
  </si>
  <si>
    <t>Any 1998</t>
  </si>
  <si>
    <t>Any 1999</t>
  </si>
  <si>
    <t>Any 2000</t>
  </si>
  <si>
    <t>Any 2001</t>
  </si>
  <si>
    <t>Any 2002</t>
  </si>
  <si>
    <t>Any 2003</t>
  </si>
  <si>
    <t>Any 2004</t>
  </si>
  <si>
    <t>Any 2005</t>
  </si>
  <si>
    <t>Any 2006</t>
  </si>
  <si>
    <t>Any 2007</t>
  </si>
  <si>
    <t>Any 2008</t>
  </si>
  <si>
    <t>Any 2009</t>
  </si>
  <si>
    <t>Any 2010</t>
  </si>
  <si>
    <t>Any 2011</t>
  </si>
  <si>
    <t>Any 2012</t>
  </si>
  <si>
    <t>Any 2013</t>
  </si>
  <si>
    <t>Any 2014</t>
  </si>
  <si>
    <t>Any 2015</t>
  </si>
  <si>
    <t>Any 2016</t>
  </si>
  <si>
    <t>Any 2017</t>
  </si>
  <si>
    <t>Any 2018</t>
  </si>
  <si>
    <t>Any 2019</t>
  </si>
  <si>
    <t>Any 2020</t>
  </si>
  <si>
    <r>
      <t>milers tones CO</t>
    </r>
    <r>
      <rPr>
        <b/>
        <vertAlign val="subscript"/>
        <sz val="14"/>
        <color indexed="9"/>
        <rFont val="Arial"/>
        <family val="2"/>
      </rPr>
      <t>2</t>
    </r>
    <r>
      <rPr>
        <b/>
        <sz val="14"/>
        <color indexed="9"/>
        <rFont val="Arial"/>
        <family val="2"/>
      </rPr>
      <t xml:space="preserve"> eq</t>
    </r>
  </si>
  <si>
    <t>Sectors</t>
  </si>
  <si>
    <r>
      <t>milers 
t CO</t>
    </r>
    <r>
      <rPr>
        <b/>
        <vertAlign val="subscript"/>
        <sz val="10"/>
        <color indexed="9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eq</t>
    </r>
  </si>
  <si>
    <t>%</t>
  </si>
  <si>
    <t>Processament de l'energia</t>
  </si>
  <si>
    <t>A. Activitats de combustió</t>
  </si>
  <si>
    <t>1. Sector energètic</t>
  </si>
  <si>
    <t>2. Indústries manufactureres i construcció</t>
  </si>
  <si>
    <r>
      <t>3. Transport</t>
    </r>
    <r>
      <rPr>
        <vertAlign val="superscript"/>
        <sz val="9"/>
        <rFont val="Arial"/>
        <family val="2"/>
      </rPr>
      <t>1</t>
    </r>
  </si>
  <si>
    <t>4. Altres sectors</t>
  </si>
  <si>
    <t>5. Altres</t>
  </si>
  <si>
    <t>B. Emissions fugitives de combustibles</t>
  </si>
  <si>
    <t>1. Combustibles sòlids</t>
  </si>
  <si>
    <t>2. Petroli i gas natural</t>
  </si>
  <si>
    <t xml:space="preserve">Processos industrials (no energètics) </t>
  </si>
  <si>
    <t>Agricultura</t>
  </si>
  <si>
    <t>Tractament i eliminació de residus</t>
  </si>
  <si>
    <t>Emissions totals</t>
  </si>
  <si>
    <t>(IV).  Emisiones indirectas de suelos gestionados</t>
  </si>
  <si>
    <t>A.  Tierras forestales</t>
  </si>
  <si>
    <t>B. Tierras de cultivo</t>
  </si>
  <si>
    <t>C.  Pastizales</t>
  </si>
  <si>
    <t>D. Humedales</t>
  </si>
  <si>
    <t>E.  Asentamientos</t>
  </si>
  <si>
    <t>F.  Otras tierras</t>
  </si>
  <si>
    <t>G. Productos madereros</t>
  </si>
  <si>
    <t>H. Otros</t>
  </si>
  <si>
    <t>2021 vs. 2020 (%)</t>
  </si>
  <si>
    <t>2021 vs. 2020
Mt</t>
  </si>
  <si>
    <t>2021 vs 1990</t>
  </si>
  <si>
    <t>2021 vs 2005</t>
  </si>
  <si>
    <t>B.  Tratamiento biológico de residuos sólidos</t>
  </si>
  <si>
    <t>D.  Tratamiento de aguas residuales</t>
  </si>
  <si>
    <t>Any 2021</t>
  </si>
  <si>
    <t>Total Emisiones CON Usos del suelo, Cambios usos del suelo y silvicultura (LULUCF) (netas)</t>
  </si>
  <si>
    <t xml:space="preserve">Total Emisiones SIN Usos del suelo, Cambios usos del suelo y silvicultura (LULUCF) </t>
  </si>
  <si>
    <t>Ús del sòl, canvis d'ús del sòl i silvicultura (LULUCF)</t>
  </si>
  <si>
    <t>TOTAL (SENSE LULUCF)</t>
  </si>
  <si>
    <t>%∆ vs 1990 (Sense LULUCF)</t>
  </si>
  <si>
    <r>
      <t>Evolució de les emissions de GEH a Catalunya de 1990</t>
    </r>
    <r>
      <rPr>
        <b/>
        <sz val="16"/>
        <rFont val="Arial"/>
        <family val="2"/>
      </rPr>
      <t xml:space="preserve"> al 2021</t>
    </r>
  </si>
  <si>
    <r>
      <t xml:space="preserve">1 </t>
    </r>
    <r>
      <rPr>
        <sz val="10"/>
        <rFont val="Arial"/>
        <family val="2"/>
      </rPr>
      <t>Les emissions del sector del transport inclouen: aviació civil (domèstic), transport per carretera, per ferrocarril, marítim (nacional) i altres (altres fonts mòbils i maquinària). No inclouen: maquinària del sector de l'agricultura, de la silvicultura i la flota pesquera nacional que són en el sector 1A4. Altres sectors (en un punt a banda)</t>
    </r>
  </si>
  <si>
    <t>Variació 2021 vs 2020</t>
  </si>
  <si>
    <t>Emissions de GEH totals sense tenir con compte les emissions i absorcions de l'ús del sòl, canvis d'ús del sòl i silvicultura</t>
  </si>
  <si>
    <t>1. Processament de l'energia</t>
  </si>
  <si>
    <t xml:space="preserve">2. Processos industrials (no energètics) </t>
  </si>
  <si>
    <t>3. Agricultura</t>
  </si>
  <si>
    <t>4. Ús del sòl, canvis d'ús del sòl i silvicultura (LULUCF)</t>
  </si>
  <si>
    <t>5. Tractament i eliminació de residus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</si>
</sst>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#,##0.0"/>
    <numFmt numFmtId="166" formatCode="_-* #,##0.00\ _€_-;\-* #,##0.00\ _€_-;_-* \-??\ _€_-;_-@_-"/>
  </numFmts>
  <fonts count="30" x14ac:knownFonts="1">
    <font>
      <sz val="10"/>
      <name val="Arial"/>
    </font>
    <font>
      <sz val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  <font>
      <b/>
      <vertAlign val="subscript"/>
      <sz val="12"/>
      <name val="Times New Roman"/>
      <family val="1"/>
    </font>
    <font>
      <sz val="12"/>
      <color indexed="8"/>
      <name val="Times New Roman"/>
      <family val="1"/>
    </font>
    <font>
      <sz val="10"/>
      <name val="Times New Roman"/>
      <family val="1"/>
    </font>
    <font>
      <sz val="9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9"/>
      <color indexed="8"/>
      <name val="Times New Roman"/>
      <family val="1"/>
    </font>
    <font>
      <b/>
      <vertAlign val="subscript"/>
      <sz val="9"/>
      <color indexed="8"/>
      <name val="Times New Roman"/>
      <family val="1"/>
    </font>
    <font>
      <b/>
      <sz val="10"/>
      <name val="Arial"/>
      <family val="2"/>
    </font>
    <font>
      <b/>
      <sz val="14"/>
      <color indexed="9"/>
      <name val="Arial"/>
      <family val="2"/>
    </font>
    <font>
      <b/>
      <vertAlign val="subscript"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0"/>
      <color indexed="9"/>
      <name val="Arial"/>
      <family val="2"/>
    </font>
    <font>
      <b/>
      <vertAlign val="subscript"/>
      <sz val="10"/>
      <color indexed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vertAlign val="superscript"/>
      <sz val="10"/>
      <color rgb="FFFF0000"/>
      <name val="Arial"/>
      <family val="2"/>
    </font>
    <font>
      <vertAlign val="superscript"/>
      <sz val="10"/>
      <name val="Arial"/>
      <family val="2"/>
    </font>
    <font>
      <b/>
      <sz val="14"/>
      <name val="Arial"/>
      <family val="2"/>
    </font>
    <font>
      <b/>
      <sz val="11"/>
      <color rgb="FF963634"/>
      <name val="Calibri"/>
      <family val="2"/>
    </font>
    <font>
      <b/>
      <sz val="9"/>
      <color theme="0"/>
      <name val="Times New Roman"/>
      <family val="1"/>
    </font>
    <font>
      <b/>
      <sz val="16"/>
      <name val="Arial"/>
      <family val="2"/>
    </font>
    <font>
      <b/>
      <sz val="9"/>
      <color theme="5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0"/>
        <bgColor indexed="59"/>
      </patternFill>
    </fill>
    <fill>
      <patternFill patternType="solid">
        <fgColor indexed="22"/>
        <bgColor indexed="31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3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59"/>
      </patternFill>
    </fill>
  </fills>
  <borders count="8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double">
        <color indexed="8"/>
      </bottom>
      <diagonal/>
    </border>
    <border>
      <left style="medium">
        <color indexed="64"/>
      </left>
      <right style="thin">
        <color indexed="64"/>
      </right>
      <top style="double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medium">
        <color indexed="8"/>
      </right>
      <top/>
      <bottom style="double">
        <color indexed="64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49" fontId="2" fillId="0" borderId="1" applyNumberFormat="0" applyFont="0" applyFill="0" applyBorder="0" applyProtection="0">
      <alignment horizontal="left" vertical="center" indent="5"/>
    </xf>
    <xf numFmtId="4" fontId="3" fillId="0" borderId="2" applyFill="0" applyBorder="0" applyProtection="0">
      <alignment horizontal="right" vertical="center"/>
    </xf>
    <xf numFmtId="0" fontId="4" fillId="0" borderId="0" applyNumberFormat="0" applyFill="0" applyBorder="0" applyAlignment="0" applyProtection="0"/>
    <xf numFmtId="4" fontId="2" fillId="0" borderId="3" applyFill="0" applyBorder="0" applyProtection="0">
      <alignment horizontal="right" vertical="center"/>
    </xf>
    <xf numFmtId="49" fontId="3" fillId="0" borderId="3" applyNumberFormat="0" applyFill="0" applyBorder="0" applyProtection="0">
      <alignment horizontal="left" vertical="center"/>
    </xf>
    <xf numFmtId="0" fontId="2" fillId="0" borderId="3" applyNumberFormat="0" applyFill="0" applyAlignment="0" applyProtection="0"/>
    <xf numFmtId="0" fontId="5" fillId="2" borderId="0" applyNumberFormat="0" applyFont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" fontId="3" fillId="0" borderId="2" applyFill="0" applyBorder="0" applyProtection="0">
      <alignment horizontal="right" vertical="center"/>
    </xf>
    <xf numFmtId="4" fontId="2" fillId="0" borderId="3" applyFill="0" applyBorder="0" applyProtection="0">
      <alignment horizontal="right" vertical="center"/>
    </xf>
    <xf numFmtId="0" fontId="5" fillId="2" borderId="0" applyNumberFormat="0" applyFont="0" applyBorder="0" applyAlignment="0" applyProtection="0"/>
    <xf numFmtId="49" fontId="2" fillId="0" borderId="1" applyNumberFormat="0" applyFont="0" applyFill="0" applyBorder="0" applyProtection="0">
      <alignment horizontal="left" vertical="center" indent="5"/>
    </xf>
    <xf numFmtId="9" fontId="1" fillId="0" borderId="0" applyFill="0" applyBorder="0" applyAlignment="0" applyProtection="0"/>
    <xf numFmtId="166" fontId="1" fillId="0" borderId="0" applyFill="0" applyBorder="0" applyAlignment="0" applyProtection="0"/>
  </cellStyleXfs>
  <cellXfs count="206">
    <xf numFmtId="0" fontId="0" fillId="0" borderId="0" xfId="0"/>
    <xf numFmtId="0" fontId="4" fillId="0" borderId="0" xfId="3" applyFont="1"/>
    <xf numFmtId="0" fontId="2" fillId="0" borderId="0" xfId="8"/>
    <xf numFmtId="2" fontId="7" fillId="0" borderId="0" xfId="8" applyNumberFormat="1" applyFont="1" applyFill="1"/>
    <xf numFmtId="0" fontId="8" fillId="0" borderId="0" xfId="8" applyFont="1" applyBorder="1" applyAlignment="1">
      <alignment horizontal="right"/>
    </xf>
    <xf numFmtId="0" fontId="4" fillId="0" borderId="0" xfId="3"/>
    <xf numFmtId="0" fontId="2" fillId="0" borderId="0" xfId="8" applyBorder="1" applyAlignment="1">
      <alignment horizontal="right"/>
    </xf>
    <xf numFmtId="0" fontId="9" fillId="0" borderId="0" xfId="8" applyNumberFormat="1" applyFont="1" applyBorder="1" applyAlignment="1">
      <alignment horizontal="left"/>
    </xf>
    <xf numFmtId="2" fontId="10" fillId="0" borderId="0" xfId="8" applyNumberFormat="1" applyFont="1" applyFill="1"/>
    <xf numFmtId="0" fontId="2" fillId="0" borderId="4" xfId="8" applyBorder="1"/>
    <xf numFmtId="2" fontId="11" fillId="0" borderId="5" xfId="8" applyNumberFormat="1" applyFont="1" applyFill="1" applyBorder="1" applyAlignment="1">
      <alignment vertical="top"/>
    </xf>
    <xf numFmtId="2" fontId="11" fillId="0" borderId="6" xfId="8" applyNumberFormat="1" applyFont="1" applyFill="1" applyBorder="1" applyAlignment="1">
      <alignment horizontal="center" vertical="top"/>
    </xf>
    <xf numFmtId="2" fontId="11" fillId="0" borderId="7" xfId="8" applyNumberFormat="1" applyFont="1" applyFill="1" applyBorder="1" applyAlignment="1">
      <alignment horizontal="center" vertical="top"/>
    </xf>
    <xf numFmtId="2" fontId="11" fillId="0" borderId="8" xfId="8" applyNumberFormat="1" applyFont="1" applyFill="1" applyBorder="1" applyAlignment="1">
      <alignment horizontal="left" vertical="top"/>
    </xf>
    <xf numFmtId="2" fontId="11" fillId="0" borderId="12" xfId="8" applyNumberFormat="1" applyFont="1" applyFill="1" applyBorder="1" applyAlignment="1">
      <alignment vertical="center"/>
    </xf>
    <xf numFmtId="2" fontId="9" fillId="0" borderId="1" xfId="8" applyNumberFormat="1" applyFont="1" applyFill="1" applyBorder="1" applyAlignment="1">
      <alignment horizontal="left" vertical="center" indent="2"/>
    </xf>
    <xf numFmtId="2" fontId="9" fillId="0" borderId="16" xfId="8" applyNumberFormat="1" applyFont="1" applyFill="1" applyBorder="1" applyAlignment="1">
      <alignment horizontal="left" vertical="center" indent="2"/>
    </xf>
    <xf numFmtId="2" fontId="11" fillId="0" borderId="20" xfId="8" applyNumberFormat="1" applyFont="1" applyFill="1" applyBorder="1" applyAlignment="1">
      <alignment vertical="center"/>
    </xf>
    <xf numFmtId="2" fontId="11" fillId="0" borderId="12" xfId="8" quotePrefix="1" applyNumberFormat="1" applyFont="1" applyFill="1" applyBorder="1" applyAlignment="1">
      <alignment horizontal="left" vertical="center"/>
    </xf>
    <xf numFmtId="2" fontId="9" fillId="0" borderId="27" xfId="8" applyNumberFormat="1" applyFont="1" applyFill="1" applyBorder="1" applyAlignment="1">
      <alignment horizontal="left" vertical="center" indent="2"/>
    </xf>
    <xf numFmtId="0" fontId="1" fillId="0" borderId="0" xfId="10"/>
    <xf numFmtId="0" fontId="21" fillId="0" borderId="0" xfId="10" applyFont="1"/>
    <xf numFmtId="3" fontId="1" fillId="0" borderId="0" xfId="10" applyNumberFormat="1"/>
    <xf numFmtId="0" fontId="23" fillId="0" borderId="0" xfId="10" applyFont="1"/>
    <xf numFmtId="0" fontId="1" fillId="0" borderId="0" xfId="11"/>
    <xf numFmtId="4" fontId="3" fillId="0" borderId="2" xfId="12" applyFill="1" applyBorder="1">
      <alignment horizontal="right" vertical="center"/>
    </xf>
    <xf numFmtId="4" fontId="3" fillId="2" borderId="2" xfId="12" applyFill="1" applyBorder="1">
      <alignment horizontal="right" vertical="center"/>
    </xf>
    <xf numFmtId="4" fontId="3" fillId="2" borderId="13" xfId="12" applyFill="1" applyBorder="1">
      <alignment horizontal="right" vertical="center"/>
    </xf>
    <xf numFmtId="4" fontId="3" fillId="0" borderId="7" xfId="12" applyFill="1" applyBorder="1">
      <alignment horizontal="right" vertical="center"/>
    </xf>
    <xf numFmtId="4" fontId="2" fillId="0" borderId="2" xfId="13" applyFill="1" applyBorder="1">
      <alignment horizontal="right" vertical="center"/>
    </xf>
    <xf numFmtId="2" fontId="9" fillId="2" borderId="3" xfId="14" applyNumberFormat="1" applyFont="1" applyBorder="1" applyAlignment="1">
      <alignment horizontal="right"/>
    </xf>
    <xf numFmtId="4" fontId="2" fillId="0" borderId="14" xfId="13" applyFill="1" applyBorder="1">
      <alignment horizontal="right" vertical="center"/>
    </xf>
    <xf numFmtId="49" fontId="9" fillId="0" borderId="1" xfId="15" applyFont="1" applyFill="1" applyBorder="1" applyAlignment="1">
      <alignment horizontal="left" vertical="center" indent="4"/>
    </xf>
    <xf numFmtId="4" fontId="2" fillId="0" borderId="3" xfId="13" applyFill="1" applyBorder="1">
      <alignment horizontal="right" vertical="center"/>
    </xf>
    <xf numFmtId="4" fontId="2" fillId="0" borderId="15" xfId="13" applyFill="1" applyBorder="1">
      <alignment horizontal="right" vertical="center"/>
    </xf>
    <xf numFmtId="4" fontId="2" fillId="0" borderId="3" xfId="13" applyFont="1" applyFill="1" applyBorder="1">
      <alignment horizontal="right" vertical="center"/>
    </xf>
    <xf numFmtId="49" fontId="9" fillId="0" borderId="16" xfId="15" applyFont="1" applyFill="1" applyBorder="1" applyAlignment="1">
      <alignment horizontal="left" vertical="center" indent="4"/>
    </xf>
    <xf numFmtId="4" fontId="2" fillId="0" borderId="17" xfId="13" applyFill="1" applyBorder="1">
      <alignment horizontal="right" vertical="center"/>
    </xf>
    <xf numFmtId="2" fontId="9" fillId="2" borderId="17" xfId="14" applyNumberFormat="1" applyFont="1" applyBorder="1" applyAlignment="1">
      <alignment horizontal="right"/>
    </xf>
    <xf numFmtId="4" fontId="2" fillId="0" borderId="18" xfId="13" applyFill="1" applyBorder="1">
      <alignment horizontal="right" vertical="center"/>
    </xf>
    <xf numFmtId="4" fontId="3" fillId="0" borderId="6" xfId="12" applyFill="1" applyBorder="1">
      <alignment horizontal="right" vertical="center"/>
    </xf>
    <xf numFmtId="4" fontId="3" fillId="0" borderId="19" xfId="12" applyNumberFormat="1" applyFill="1" applyBorder="1">
      <alignment horizontal="right" vertical="center"/>
    </xf>
    <xf numFmtId="2" fontId="9" fillId="2" borderId="2" xfId="14" applyNumberFormat="1" applyFont="1" applyBorder="1" applyAlignment="1">
      <alignment horizontal="right"/>
    </xf>
    <xf numFmtId="4" fontId="2" fillId="0" borderId="3" xfId="13" applyNumberFormat="1" applyFill="1" applyBorder="1">
      <alignment horizontal="right" vertical="center"/>
    </xf>
    <xf numFmtId="4" fontId="3" fillId="0" borderId="0" xfId="12" applyFill="1" applyBorder="1">
      <alignment horizontal="right" vertical="center"/>
    </xf>
    <xf numFmtId="2" fontId="11" fillId="2" borderId="2" xfId="14" applyNumberFormat="1" applyFont="1" applyBorder="1" applyAlignment="1">
      <alignment horizontal="right"/>
    </xf>
    <xf numFmtId="2" fontId="11" fillId="2" borderId="13" xfId="14" applyNumberFormat="1" applyFont="1" applyBorder="1" applyAlignment="1">
      <alignment horizontal="right"/>
    </xf>
    <xf numFmtId="2" fontId="2" fillId="2" borderId="2" xfId="14" applyNumberFormat="1" applyFont="1" applyBorder="1" applyAlignment="1">
      <alignment horizontal="right" vertical="center"/>
    </xf>
    <xf numFmtId="2" fontId="2" fillId="2" borderId="3" xfId="14" applyNumberFormat="1" applyFont="1" applyBorder="1" applyAlignment="1">
      <alignment horizontal="right" vertical="center"/>
    </xf>
    <xf numFmtId="4" fontId="2" fillId="0" borderId="3" xfId="13" applyFill="1" applyBorder="1" applyProtection="1">
      <alignment horizontal="right" vertical="center"/>
      <protection locked="0"/>
    </xf>
    <xf numFmtId="4" fontId="2" fillId="0" borderId="28" xfId="13" applyFill="1" applyBorder="1">
      <alignment horizontal="right" vertical="center"/>
    </xf>
    <xf numFmtId="2" fontId="9" fillId="2" borderId="28" xfId="14" applyNumberFormat="1" applyFont="1" applyBorder="1" applyAlignment="1">
      <alignment horizontal="right"/>
    </xf>
    <xf numFmtId="4" fontId="2" fillId="0" borderId="29" xfId="13" applyFill="1" applyBorder="1">
      <alignment horizontal="right" vertical="center"/>
    </xf>
    <xf numFmtId="4" fontId="3" fillId="0" borderId="7" xfId="13" applyFont="1" applyFill="1" applyBorder="1">
      <alignment horizontal="right" vertical="center"/>
    </xf>
    <xf numFmtId="4" fontId="3" fillId="0" borderId="22" xfId="12" applyFill="1" applyBorder="1">
      <alignment horizontal="right" vertical="center"/>
    </xf>
    <xf numFmtId="4" fontId="3" fillId="0" borderId="25" xfId="12" applyFill="1" applyBorder="1">
      <alignment horizontal="right" vertical="center"/>
    </xf>
    <xf numFmtId="4" fontId="3" fillId="0" borderId="21" xfId="12" applyFill="1" applyBorder="1">
      <alignment horizontal="right" vertical="center"/>
    </xf>
    <xf numFmtId="4" fontId="1" fillId="0" borderId="0" xfId="11" applyNumberFormat="1"/>
    <xf numFmtId="0" fontId="24" fillId="0" borderId="0" xfId="0" applyFont="1"/>
    <xf numFmtId="0" fontId="4" fillId="0" borderId="0" xfId="3" applyNumberFormat="1" applyFont="1" applyFill="1" applyBorder="1" applyAlignment="1" applyProtection="1"/>
    <xf numFmtId="0" fontId="19" fillId="0" borderId="0" xfId="10" applyFont="1"/>
    <xf numFmtId="0" fontId="4" fillId="0" borderId="0" xfId="3" applyNumberFormat="1" applyFill="1" applyBorder="1" applyAlignment="1" applyProtection="1"/>
    <xf numFmtId="4" fontId="1" fillId="0" borderId="0" xfId="10" applyNumberFormat="1"/>
    <xf numFmtId="0" fontId="2" fillId="0" borderId="0" xfId="8" applyFont="1" applyBorder="1" applyAlignment="1">
      <alignment horizontal="right"/>
    </xf>
    <xf numFmtId="9" fontId="1" fillId="0" borderId="0" xfId="16"/>
    <xf numFmtId="2" fontId="11" fillId="0" borderId="50" xfId="8" applyNumberFormat="1" applyFont="1" applyFill="1" applyBorder="1" applyAlignment="1">
      <alignment vertical="top"/>
    </xf>
    <xf numFmtId="2" fontId="11" fillId="0" borderId="51" xfId="8" applyNumberFormat="1" applyFont="1" applyFill="1" applyBorder="1" applyAlignment="1">
      <alignment horizontal="left" vertical="top"/>
    </xf>
    <xf numFmtId="4" fontId="11" fillId="3" borderId="53" xfId="8" applyNumberFormat="1" applyFont="1" applyFill="1" applyBorder="1" applyAlignment="1">
      <alignment horizontal="center" vertical="center"/>
    </xf>
    <xf numFmtId="4" fontId="3" fillId="0" borderId="13" xfId="12" applyFill="1" applyBorder="1">
      <alignment horizontal="right" vertical="center"/>
    </xf>
    <xf numFmtId="164" fontId="1" fillId="0" borderId="3" xfId="16" applyNumberFormat="1" applyFont="1" applyFill="1" applyBorder="1" applyAlignment="1" applyProtection="1"/>
    <xf numFmtId="2" fontId="1" fillId="0" borderId="3" xfId="10" applyNumberFormat="1" applyFont="1" applyFill="1" applyBorder="1"/>
    <xf numFmtId="9" fontId="1" fillId="0" borderId="3" xfId="16" applyBorder="1"/>
    <xf numFmtId="4" fontId="2" fillId="0" borderId="13" xfId="13" applyFill="1" applyBorder="1">
      <alignment horizontal="right" vertical="center"/>
    </xf>
    <xf numFmtId="4" fontId="2" fillId="0" borderId="54" xfId="13" applyFill="1" applyBorder="1">
      <alignment horizontal="right" vertical="center"/>
    </xf>
    <xf numFmtId="4" fontId="2" fillId="0" borderId="55" xfId="13" applyFill="1" applyBorder="1">
      <alignment horizontal="right" vertical="center"/>
    </xf>
    <xf numFmtId="4" fontId="2" fillId="0" borderId="56" xfId="13" applyFill="1" applyBorder="1">
      <alignment horizontal="right" vertical="center"/>
    </xf>
    <xf numFmtId="4" fontId="2" fillId="0" borderId="57" xfId="13" applyFill="1" applyBorder="1">
      <alignment horizontal="right" vertical="center"/>
    </xf>
    <xf numFmtId="4" fontId="3" fillId="0" borderId="58" xfId="12" applyFill="1" applyBorder="1">
      <alignment horizontal="right" vertical="center"/>
    </xf>
    <xf numFmtId="4" fontId="3" fillId="0" borderId="19" xfId="12" applyFill="1" applyBorder="1">
      <alignment horizontal="right" vertical="center"/>
    </xf>
    <xf numFmtId="4" fontId="2" fillId="0" borderId="59" xfId="13" applyFill="1" applyBorder="1">
      <alignment horizontal="right" vertical="center"/>
    </xf>
    <xf numFmtId="2" fontId="9" fillId="0" borderId="3" xfId="14" applyNumberFormat="1" applyFont="1" applyFill="1" applyBorder="1" applyAlignment="1">
      <alignment horizontal="right"/>
    </xf>
    <xf numFmtId="2" fontId="9" fillId="0" borderId="55" xfId="14" applyNumberFormat="1" applyFont="1" applyFill="1" applyBorder="1" applyAlignment="1">
      <alignment horizontal="right"/>
    </xf>
    <xf numFmtId="2" fontId="9" fillId="0" borderId="54" xfId="14" applyNumberFormat="1" applyFont="1" applyFill="1" applyBorder="1" applyAlignment="1">
      <alignment horizontal="right"/>
    </xf>
    <xf numFmtId="4" fontId="2" fillId="0" borderId="60" xfId="12" applyFont="1" applyFill="1" applyBorder="1">
      <alignment horizontal="right" vertical="center"/>
    </xf>
    <xf numFmtId="4" fontId="2" fillId="0" borderId="17" xfId="12" applyFont="1" applyFill="1" applyBorder="1">
      <alignment horizontal="right" vertical="center"/>
    </xf>
    <xf numFmtId="4" fontId="2" fillId="0" borderId="0" xfId="12" applyFont="1" applyFill="1" applyBorder="1">
      <alignment horizontal="right" vertical="center"/>
    </xf>
    <xf numFmtId="4" fontId="2" fillId="0" borderId="57" xfId="12" applyFont="1" applyFill="1" applyBorder="1">
      <alignment horizontal="right" vertical="center"/>
    </xf>
    <xf numFmtId="4" fontId="2" fillId="0" borderId="56" xfId="12" applyFont="1" applyFill="1" applyBorder="1">
      <alignment horizontal="right" vertical="center"/>
    </xf>
    <xf numFmtId="2" fontId="9" fillId="0" borderId="2" xfId="14" applyNumberFormat="1" applyFont="1" applyFill="1" applyBorder="1" applyAlignment="1">
      <alignment horizontal="right"/>
    </xf>
    <xf numFmtId="2" fontId="9" fillId="0" borderId="59" xfId="14" applyNumberFormat="1" applyFont="1" applyFill="1" applyBorder="1" applyAlignment="1">
      <alignment horizontal="right"/>
    </xf>
    <xf numFmtId="2" fontId="9" fillId="0" borderId="13" xfId="14" applyNumberFormat="1" applyFont="1" applyFill="1" applyBorder="1" applyAlignment="1">
      <alignment horizontal="right"/>
    </xf>
    <xf numFmtId="4" fontId="2" fillId="0" borderId="55" xfId="13" applyFill="1" applyBorder="1" applyProtection="1">
      <alignment horizontal="right" vertical="center"/>
      <protection locked="0"/>
    </xf>
    <xf numFmtId="4" fontId="2" fillId="0" borderId="54" xfId="13" applyFill="1" applyBorder="1" applyProtection="1">
      <alignment horizontal="right" vertical="center"/>
      <protection locked="0"/>
    </xf>
    <xf numFmtId="4" fontId="2" fillId="0" borderId="61" xfId="13" applyFill="1" applyBorder="1">
      <alignment horizontal="right" vertical="center"/>
    </xf>
    <xf numFmtId="4" fontId="2" fillId="0" borderId="3" xfId="12" applyFont="1" applyFill="1" applyBorder="1">
      <alignment horizontal="right" vertical="center"/>
    </xf>
    <xf numFmtId="4" fontId="2" fillId="0" borderId="54" xfId="12" applyFont="1" applyFill="1" applyBorder="1">
      <alignment horizontal="right" vertical="center"/>
    </xf>
    <xf numFmtId="2" fontId="9" fillId="0" borderId="9" xfId="8" applyNumberFormat="1" applyFont="1" applyFill="1" applyBorder="1" applyAlignment="1">
      <alignment horizontal="left" vertical="center" indent="2"/>
    </xf>
    <xf numFmtId="4" fontId="2" fillId="0" borderId="62" xfId="12" applyFont="1" applyFill="1" applyBorder="1">
      <alignment horizontal="right" vertical="center"/>
    </xf>
    <xf numFmtId="4" fontId="2" fillId="0" borderId="63" xfId="12" applyFont="1" applyFill="1" applyBorder="1">
      <alignment horizontal="right" vertical="center"/>
    </xf>
    <xf numFmtId="2" fontId="1" fillId="0" borderId="28" xfId="10" applyNumberFormat="1" applyFont="1" applyFill="1" applyBorder="1"/>
    <xf numFmtId="2" fontId="1" fillId="0" borderId="2" xfId="10" applyNumberFormat="1" applyFont="1" applyFill="1" applyBorder="1"/>
    <xf numFmtId="4" fontId="3" fillId="0" borderId="2" xfId="13" applyFont="1" applyFill="1" applyBorder="1">
      <alignment horizontal="right" vertical="center"/>
    </xf>
    <xf numFmtId="4" fontId="3" fillId="0" borderId="59" xfId="13" applyFont="1" applyFill="1" applyBorder="1">
      <alignment horizontal="right" vertical="center"/>
    </xf>
    <xf numFmtId="4" fontId="3" fillId="0" borderId="13" xfId="13" applyFont="1" applyFill="1" applyBorder="1">
      <alignment horizontal="right" vertical="center"/>
    </xf>
    <xf numFmtId="4" fontId="2" fillId="0" borderId="23" xfId="12" applyFont="1" applyFill="1" applyBorder="1">
      <alignment horizontal="right" vertical="center"/>
    </xf>
    <xf numFmtId="4" fontId="2" fillId="0" borderId="64" xfId="12" applyFont="1" applyFill="1" applyBorder="1">
      <alignment horizontal="right" vertical="center"/>
    </xf>
    <xf numFmtId="4" fontId="2" fillId="0" borderId="24" xfId="12" applyFont="1" applyFill="1" applyBorder="1">
      <alignment horizontal="right" vertical="center"/>
    </xf>
    <xf numFmtId="4" fontId="3" fillId="0" borderId="23" xfId="12" applyFont="1" applyFill="1" applyBorder="1">
      <alignment horizontal="right" vertical="center"/>
    </xf>
    <xf numFmtId="4" fontId="3" fillId="0" borderId="64" xfId="12" applyFont="1" applyFill="1" applyBorder="1">
      <alignment horizontal="right" vertical="center"/>
    </xf>
    <xf numFmtId="4" fontId="3" fillId="0" borderId="24" xfId="12" applyFont="1" applyFill="1" applyBorder="1">
      <alignment horizontal="right" vertical="center"/>
    </xf>
    <xf numFmtId="2" fontId="9" fillId="0" borderId="65" xfId="8" applyNumberFormat="1" applyFont="1" applyFill="1" applyBorder="1" applyAlignment="1">
      <alignment horizontal="left" vertical="center" indent="2"/>
    </xf>
    <xf numFmtId="0" fontId="1" fillId="0" borderId="0" xfId="10" applyBorder="1"/>
    <xf numFmtId="0" fontId="1" fillId="0" borderId="32" xfId="10" applyBorder="1"/>
    <xf numFmtId="2" fontId="11" fillId="3" borderId="52" xfId="8" applyNumberFormat="1" applyFont="1" applyFill="1" applyBorder="1" applyAlignment="1">
      <alignment vertical="center" wrapText="1"/>
    </xf>
    <xf numFmtId="0" fontId="13" fillId="0" borderId="0" xfId="10" applyFont="1" applyFill="1"/>
    <xf numFmtId="14" fontId="13" fillId="0" borderId="0" xfId="10" applyNumberFormat="1" applyFont="1" applyFill="1"/>
    <xf numFmtId="164" fontId="1" fillId="0" borderId="3" xfId="10" applyNumberFormat="1" applyFont="1" applyFill="1" applyBorder="1"/>
    <xf numFmtId="0" fontId="17" fillId="7" borderId="33" xfId="8" applyFont="1" applyFill="1" applyBorder="1" applyAlignment="1">
      <alignment horizontal="center"/>
    </xf>
    <xf numFmtId="0" fontId="17" fillId="7" borderId="68" xfId="8" applyFont="1" applyFill="1" applyBorder="1" applyAlignment="1">
      <alignment horizontal="center"/>
    </xf>
    <xf numFmtId="0" fontId="17" fillId="7" borderId="26" xfId="8" applyFont="1" applyFill="1" applyBorder="1" applyAlignment="1">
      <alignment horizontal="center"/>
    </xf>
    <xf numFmtId="164" fontId="13" fillId="3" borderId="53" xfId="16" applyNumberFormat="1" applyFont="1" applyFill="1" applyBorder="1" applyAlignment="1" applyProtection="1">
      <alignment horizontal="center"/>
    </xf>
    <xf numFmtId="2" fontId="13" fillId="3" borderId="53" xfId="10" applyNumberFormat="1" applyFont="1" applyFill="1" applyBorder="1" applyAlignment="1">
      <alignment horizontal="center"/>
    </xf>
    <xf numFmtId="164" fontId="13" fillId="3" borderId="53" xfId="10" applyNumberFormat="1" applyFont="1" applyFill="1" applyBorder="1" applyAlignment="1">
      <alignment horizontal="center"/>
    </xf>
    <xf numFmtId="9" fontId="13" fillId="3" borderId="53" xfId="16" applyFont="1" applyFill="1" applyBorder="1" applyAlignment="1">
      <alignment horizontal="center"/>
    </xf>
    <xf numFmtId="0" fontId="26" fillId="0" borderId="0" xfId="10" applyFont="1"/>
    <xf numFmtId="0" fontId="1" fillId="0" borderId="0" xfId="10" applyFill="1"/>
    <xf numFmtId="0" fontId="19" fillId="0" borderId="0" xfId="10" applyFont="1" applyBorder="1" applyAlignment="1">
      <alignment horizontal="left" wrapText="1"/>
    </xf>
    <xf numFmtId="0" fontId="19" fillId="0" borderId="0" xfId="10" applyFont="1" applyFill="1" applyBorder="1" applyAlignment="1">
      <alignment horizontal="left"/>
    </xf>
    <xf numFmtId="0" fontId="19" fillId="0" borderId="0" xfId="10" applyFont="1" applyBorder="1" applyAlignment="1">
      <alignment horizontal="left"/>
    </xf>
    <xf numFmtId="3" fontId="1" fillId="5" borderId="44" xfId="10" applyNumberFormat="1" applyFont="1" applyFill="1" applyBorder="1" applyAlignment="1">
      <alignment horizontal="right" vertical="center"/>
    </xf>
    <xf numFmtId="3" fontId="1" fillId="6" borderId="44" xfId="10" applyNumberFormat="1" applyFont="1" applyFill="1" applyBorder="1" applyAlignment="1">
      <alignment horizontal="right" vertical="center"/>
    </xf>
    <xf numFmtId="165" fontId="1" fillId="6" borderId="44" xfId="10" applyNumberFormat="1" applyFont="1" applyFill="1" applyBorder="1" applyAlignment="1">
      <alignment horizontal="right" vertical="center"/>
    </xf>
    <xf numFmtId="3" fontId="13" fillId="9" borderId="46" xfId="10" applyNumberFormat="1" applyFont="1" applyFill="1" applyBorder="1" applyAlignment="1">
      <alignment horizontal="right" vertical="center"/>
    </xf>
    <xf numFmtId="9" fontId="13" fillId="9" borderId="46" xfId="16" applyFont="1" applyFill="1" applyBorder="1" applyAlignment="1" applyProtection="1">
      <alignment horizontal="right" vertical="center"/>
    </xf>
    <xf numFmtId="9" fontId="0" fillId="0" borderId="0" xfId="16" applyFont="1" applyFill="1" applyBorder="1" applyAlignment="1" applyProtection="1"/>
    <xf numFmtId="0" fontId="22" fillId="0" borderId="0" xfId="10" applyFont="1"/>
    <xf numFmtId="0" fontId="27" fillId="0" borderId="0" xfId="10" applyFont="1"/>
    <xf numFmtId="3" fontId="1" fillId="5" borderId="40" xfId="10" applyNumberFormat="1" applyFont="1" applyFill="1" applyBorder="1" applyAlignment="1">
      <alignment horizontal="right" vertical="center"/>
    </xf>
    <xf numFmtId="0" fontId="19" fillId="0" borderId="0" xfId="10" applyFont="1" applyBorder="1" applyAlignment="1">
      <alignment wrapText="1"/>
    </xf>
    <xf numFmtId="14" fontId="13" fillId="0" borderId="0" xfId="10" applyNumberFormat="1" applyFont="1" applyFill="1" applyAlignment="1"/>
    <xf numFmtId="3" fontId="13" fillId="9" borderId="3" xfId="16" applyNumberFormat="1" applyFont="1" applyFill="1" applyBorder="1" applyAlignment="1" applyProtection="1">
      <alignment horizontal="center"/>
    </xf>
    <xf numFmtId="9" fontId="13" fillId="9" borderId="3" xfId="16" applyNumberFormat="1" applyFont="1" applyFill="1" applyBorder="1" applyAlignment="1" applyProtection="1">
      <alignment horizontal="center"/>
    </xf>
    <xf numFmtId="3" fontId="1" fillId="10" borderId="41" xfId="10" applyNumberFormat="1" applyFill="1" applyBorder="1" applyAlignment="1">
      <alignment horizontal="center" vertical="center"/>
    </xf>
    <xf numFmtId="3" fontId="0" fillId="11" borderId="3" xfId="16" applyNumberFormat="1" applyFont="1" applyFill="1" applyBorder="1" applyAlignment="1" applyProtection="1">
      <alignment horizontal="center"/>
    </xf>
    <xf numFmtId="0" fontId="17" fillId="12" borderId="36" xfId="10" applyFont="1" applyFill="1" applyBorder="1" applyAlignment="1">
      <alignment horizontal="center" vertical="center" wrapText="1"/>
    </xf>
    <xf numFmtId="0" fontId="16" fillId="12" borderId="26" xfId="10" applyFont="1" applyFill="1" applyBorder="1" applyAlignment="1">
      <alignment horizontal="center" vertical="center" wrapText="1"/>
    </xf>
    <xf numFmtId="9" fontId="1" fillId="10" borderId="74" xfId="9" applyNumberFormat="1" applyFont="1" applyFill="1" applyBorder="1" applyAlignment="1">
      <alignment horizontal="center" vertical="center"/>
    </xf>
    <xf numFmtId="9" fontId="0" fillId="11" borderId="54" xfId="16" applyNumberFormat="1" applyFont="1" applyFill="1" applyBorder="1" applyAlignment="1" applyProtection="1">
      <alignment horizontal="center"/>
    </xf>
    <xf numFmtId="0" fontId="16" fillId="4" borderId="82" xfId="10" applyFont="1" applyFill="1" applyBorder="1" applyAlignment="1">
      <alignment horizontal="center" vertical="center" wrapText="1"/>
    </xf>
    <xf numFmtId="0" fontId="16" fillId="4" borderId="83" xfId="10" applyFont="1" applyFill="1" applyBorder="1" applyAlignment="1">
      <alignment horizontal="center" vertical="center" wrapText="1"/>
    </xf>
    <xf numFmtId="0" fontId="16" fillId="4" borderId="84" xfId="10" applyFont="1" applyFill="1" applyBorder="1" applyAlignment="1">
      <alignment horizontal="center" vertical="center" wrapText="1"/>
    </xf>
    <xf numFmtId="0" fontId="16" fillId="4" borderId="80" xfId="10" applyFont="1" applyFill="1" applyBorder="1" applyAlignment="1">
      <alignment horizontal="center" vertical="center" wrapText="1"/>
    </xf>
    <xf numFmtId="0" fontId="14" fillId="4" borderId="5" xfId="10" applyFont="1" applyFill="1" applyBorder="1" applyAlignment="1">
      <alignment horizontal="center" vertical="center"/>
    </xf>
    <xf numFmtId="0" fontId="14" fillId="4" borderId="77" xfId="10" applyFont="1" applyFill="1" applyBorder="1" applyAlignment="1">
      <alignment horizontal="center" vertical="center"/>
    </xf>
    <xf numFmtId="0" fontId="14" fillId="4" borderId="78" xfId="10" applyFont="1" applyFill="1" applyBorder="1" applyAlignment="1">
      <alignment horizontal="center" vertical="center"/>
    </xf>
    <xf numFmtId="0" fontId="14" fillId="4" borderId="80" xfId="10" applyFont="1" applyFill="1" applyBorder="1" applyAlignment="1">
      <alignment horizontal="left" vertical="center" wrapText="1"/>
    </xf>
    <xf numFmtId="0" fontId="14" fillId="4" borderId="81" xfId="10" applyFont="1" applyFill="1" applyBorder="1" applyAlignment="1">
      <alignment horizontal="left" vertical="center" wrapText="1"/>
    </xf>
    <xf numFmtId="0" fontId="14" fillId="4" borderId="85" xfId="10" applyFont="1" applyFill="1" applyBorder="1" applyAlignment="1">
      <alignment horizontal="left" vertical="center" wrapText="1"/>
    </xf>
    <xf numFmtId="0" fontId="13" fillId="5" borderId="79" xfId="10" applyFont="1" applyFill="1" applyBorder="1" applyAlignment="1">
      <alignment horizontal="left" vertical="center"/>
    </xf>
    <xf numFmtId="0" fontId="13" fillId="5" borderId="38" xfId="10" applyFont="1" applyFill="1" applyBorder="1" applyAlignment="1">
      <alignment horizontal="center" vertical="center"/>
    </xf>
    <xf numFmtId="0" fontId="19" fillId="6" borderId="38" xfId="10" applyFont="1" applyFill="1" applyBorder="1" applyAlignment="1">
      <alignment horizontal="right" vertical="center"/>
    </xf>
    <xf numFmtId="0" fontId="19" fillId="6" borderId="37" xfId="10" applyFont="1" applyFill="1" applyBorder="1" applyAlignment="1">
      <alignment horizontal="right" vertical="center"/>
    </xf>
    <xf numFmtId="0" fontId="19" fillId="6" borderId="39" xfId="10" applyFont="1" applyFill="1" applyBorder="1" applyAlignment="1">
      <alignment horizontal="right" vertical="center"/>
    </xf>
    <xf numFmtId="0" fontId="13" fillId="9" borderId="45" xfId="10" applyFont="1" applyFill="1" applyBorder="1" applyAlignment="1">
      <alignment horizontal="right" vertical="center"/>
    </xf>
    <xf numFmtId="0" fontId="22" fillId="0" borderId="0" xfId="10" applyFont="1" applyBorder="1" applyAlignment="1">
      <alignment horizontal="left" vertical="center" wrapText="1"/>
    </xf>
    <xf numFmtId="0" fontId="13" fillId="5" borderId="38" xfId="10" applyFont="1" applyFill="1" applyBorder="1" applyAlignment="1">
      <alignment horizontal="left" vertical="center"/>
    </xf>
    <xf numFmtId="0" fontId="13" fillId="5" borderId="38" xfId="10" applyFont="1" applyFill="1" applyBorder="1" applyAlignment="1">
      <alignment horizontal="right" vertical="center"/>
    </xf>
    <xf numFmtId="0" fontId="16" fillId="12" borderId="33" xfId="10" applyFont="1" applyFill="1" applyBorder="1" applyAlignment="1">
      <alignment horizontal="center" vertical="center" wrapText="1"/>
    </xf>
    <xf numFmtId="0" fontId="16" fillId="12" borderId="26" xfId="10" applyFont="1" applyFill="1" applyBorder="1" applyAlignment="1">
      <alignment horizontal="center" vertical="center" wrapText="1"/>
    </xf>
    <xf numFmtId="0" fontId="13" fillId="5" borderId="34" xfId="10" applyFont="1" applyFill="1" applyBorder="1" applyAlignment="1">
      <alignment horizontal="left" vertical="center"/>
    </xf>
    <xf numFmtId="0" fontId="13" fillId="5" borderId="35" xfId="10" applyFont="1" applyFill="1" applyBorder="1" applyAlignment="1">
      <alignment horizontal="left" vertical="center"/>
    </xf>
    <xf numFmtId="0" fontId="13" fillId="5" borderId="42" xfId="10" applyFont="1" applyFill="1" applyBorder="1" applyAlignment="1">
      <alignment horizontal="left" vertical="center"/>
    </xf>
    <xf numFmtId="0" fontId="13" fillId="5" borderId="37" xfId="10" applyFont="1" applyFill="1" applyBorder="1" applyAlignment="1">
      <alignment horizontal="center" vertical="center"/>
    </xf>
    <xf numFmtId="0" fontId="13" fillId="5" borderId="39" xfId="10" applyFont="1" applyFill="1" applyBorder="1" applyAlignment="1">
      <alignment horizontal="center" vertical="center"/>
    </xf>
    <xf numFmtId="0" fontId="13" fillId="5" borderId="72" xfId="10" applyFont="1" applyFill="1" applyBorder="1" applyAlignment="1">
      <alignment horizontal="left" vertical="center"/>
    </xf>
    <xf numFmtId="0" fontId="13" fillId="5" borderId="73" xfId="10" applyFont="1" applyFill="1" applyBorder="1" applyAlignment="1">
      <alignment horizontal="left" vertical="center"/>
    </xf>
    <xf numFmtId="0" fontId="13" fillId="5" borderId="43" xfId="10" applyFont="1" applyFill="1" applyBorder="1" applyAlignment="1">
      <alignment horizontal="left" vertical="center"/>
    </xf>
    <xf numFmtId="0" fontId="13" fillId="5" borderId="37" xfId="10" applyFont="1" applyFill="1" applyBorder="1" applyAlignment="1">
      <alignment horizontal="right" vertical="center"/>
    </xf>
    <xf numFmtId="0" fontId="13" fillId="5" borderId="39" xfId="10" applyFont="1" applyFill="1" applyBorder="1" applyAlignment="1">
      <alignment horizontal="right" vertical="center"/>
    </xf>
    <xf numFmtId="0" fontId="13" fillId="5" borderId="37" xfId="10" applyFont="1" applyFill="1" applyBorder="1" applyAlignment="1">
      <alignment horizontal="left" vertical="center"/>
    </xf>
    <xf numFmtId="0" fontId="13" fillId="5" borderId="39" xfId="10" applyFont="1" applyFill="1" applyBorder="1" applyAlignment="1">
      <alignment horizontal="left" vertical="center"/>
    </xf>
    <xf numFmtId="0" fontId="13" fillId="5" borderId="49" xfId="10" applyFont="1" applyFill="1" applyBorder="1" applyAlignment="1">
      <alignment horizontal="left" vertical="center"/>
    </xf>
    <xf numFmtId="0" fontId="13" fillId="5" borderId="47" xfId="10" applyFont="1" applyFill="1" applyBorder="1" applyAlignment="1">
      <alignment horizontal="left" vertical="center"/>
    </xf>
    <xf numFmtId="0" fontId="13" fillId="5" borderId="48" xfId="10" applyFont="1" applyFill="1" applyBorder="1" applyAlignment="1">
      <alignment horizontal="left" vertical="center"/>
    </xf>
    <xf numFmtId="0" fontId="13" fillId="5" borderId="75" xfId="10" applyFont="1" applyFill="1" applyBorder="1" applyAlignment="1">
      <alignment horizontal="left" vertical="center"/>
    </xf>
    <xf numFmtId="0" fontId="13" fillId="5" borderId="76" xfId="10" applyFont="1" applyFill="1" applyBorder="1" applyAlignment="1">
      <alignment horizontal="left" vertical="center"/>
    </xf>
    <xf numFmtId="2" fontId="11" fillId="0" borderId="67" xfId="8" applyNumberFormat="1" applyFont="1" applyFill="1" applyBorder="1" applyAlignment="1">
      <alignment horizontal="center" vertical="center"/>
    </xf>
    <xf numFmtId="2" fontId="11" fillId="0" borderId="66" xfId="8" applyNumberFormat="1" applyFont="1" applyFill="1" applyBorder="1" applyAlignment="1">
      <alignment horizontal="center" vertical="center"/>
    </xf>
    <xf numFmtId="0" fontId="25" fillId="8" borderId="71" xfId="8" applyNumberFormat="1" applyFont="1" applyFill="1" applyBorder="1" applyAlignment="1">
      <alignment horizontal="center" vertical="top" wrapText="1"/>
    </xf>
    <xf numFmtId="0" fontId="25" fillId="8" borderId="16" xfId="8" applyNumberFormat="1" applyFont="1" applyFill="1" applyBorder="1" applyAlignment="1">
      <alignment horizontal="center" vertical="top" wrapText="1"/>
    </xf>
    <xf numFmtId="0" fontId="25" fillId="8" borderId="6" xfId="8" applyNumberFormat="1" applyFont="1" applyFill="1" applyBorder="1" applyAlignment="1">
      <alignment horizontal="center" vertical="top" wrapText="1"/>
    </xf>
    <xf numFmtId="0" fontId="25" fillId="8" borderId="17" xfId="8" applyNumberFormat="1" applyFont="1" applyFill="1" applyBorder="1" applyAlignment="1">
      <alignment horizontal="center" vertical="top" wrapText="1"/>
    </xf>
    <xf numFmtId="0" fontId="25" fillId="8" borderId="7" xfId="8" applyNumberFormat="1" applyFont="1" applyFill="1" applyBorder="1" applyAlignment="1">
      <alignment horizontal="center" vertical="top" wrapText="1"/>
    </xf>
    <xf numFmtId="0" fontId="25" fillId="8" borderId="18" xfId="8" applyNumberFormat="1" applyFont="1" applyFill="1" applyBorder="1" applyAlignment="1">
      <alignment horizontal="center" vertical="top" wrapText="1"/>
    </xf>
    <xf numFmtId="2" fontId="11" fillId="0" borderId="69" xfId="8" applyNumberFormat="1" applyFont="1" applyFill="1" applyBorder="1" applyAlignment="1">
      <alignment horizontal="center" vertical="center"/>
    </xf>
    <xf numFmtId="2" fontId="11" fillId="0" borderId="70" xfId="8" applyNumberFormat="1" applyFont="1" applyFill="1" applyBorder="1" applyAlignment="1">
      <alignment horizontal="center" vertical="center"/>
    </xf>
    <xf numFmtId="2" fontId="11" fillId="0" borderId="30" xfId="8" applyNumberFormat="1" applyFont="1" applyFill="1" applyBorder="1" applyAlignment="1">
      <alignment horizontal="center"/>
    </xf>
    <xf numFmtId="2" fontId="11" fillId="0" borderId="31" xfId="8" applyNumberFormat="1" applyFont="1" applyFill="1" applyBorder="1" applyAlignment="1">
      <alignment horizontal="center"/>
    </xf>
    <xf numFmtId="4" fontId="28" fillId="0" borderId="0" xfId="11" applyNumberFormat="1" applyFont="1"/>
    <xf numFmtId="0" fontId="28" fillId="0" borderId="0" xfId="11" applyFont="1"/>
    <xf numFmtId="4" fontId="29" fillId="0" borderId="0" xfId="11" applyNumberFormat="1" applyFont="1"/>
    <xf numFmtId="0" fontId="29" fillId="0" borderId="0" xfId="11" applyFont="1"/>
    <xf numFmtId="2" fontId="11" fillId="3" borderId="9" xfId="8" applyNumberFormat="1" applyFont="1" applyFill="1" applyBorder="1" applyAlignment="1">
      <alignment wrapText="1"/>
    </xf>
    <xf numFmtId="4" fontId="3" fillId="3" borderId="10" xfId="12" applyFill="1" applyBorder="1">
      <alignment horizontal="right" vertical="center"/>
    </xf>
    <xf numFmtId="4" fontId="3" fillId="3" borderId="11" xfId="12" applyFill="1" applyBorder="1">
      <alignment horizontal="right" vertical="center"/>
    </xf>
    <xf numFmtId="9" fontId="1" fillId="0" borderId="0" xfId="9"/>
  </cellXfs>
  <cellStyles count="18">
    <cellStyle name="5x indented GHG Textfiels" xfId="1"/>
    <cellStyle name="5x indented GHG Textfiels 2" xfId="15"/>
    <cellStyle name="Bold GHG Numbers (0.00)" xfId="2"/>
    <cellStyle name="Bold GHG Numbers (0.00) 2" xfId="12"/>
    <cellStyle name="Headline" xfId="3"/>
    <cellStyle name="Millares 2" xfId="17"/>
    <cellStyle name="Normal" xfId="0" builtinId="0"/>
    <cellStyle name="Normal 2" xfId="10"/>
    <cellStyle name="Normal 3" xfId="11"/>
    <cellStyle name="Normal GHG Numbers (0.00)" xfId="4"/>
    <cellStyle name="Normal GHG Numbers (0.00) 2" xfId="13"/>
    <cellStyle name="Normal GHG Textfiels Bold" xfId="5"/>
    <cellStyle name="Normal GHG whole table" xfId="6"/>
    <cellStyle name="Normal GHG-Shade" xfId="7"/>
    <cellStyle name="Normal GHG-Shade 2" xfId="14"/>
    <cellStyle name="Normal_Common Reporting Format V1.01" xfId="8"/>
    <cellStyle name="Porcentaje" xfId="9" builtinId="5"/>
    <cellStyle name="Porcentaje 2" xfId="16"/>
  </cellStyles>
  <dxfs count="0"/>
  <tableStyles count="0" defaultTableStyle="TableStyleMedium2" defaultPivotStyle="PivotStyleLight16"/>
  <colors>
    <mruColors>
      <color rgb="FFDCC2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_tradnl"/>
              <a:t>Tendència d'emissions totals a Catalunya</a:t>
            </a:r>
          </a:p>
        </c:rich>
      </c:tx>
      <c:layout>
        <c:manualLayout>
          <c:xMode val="edge"/>
          <c:yMode val="edge"/>
          <c:x val="0.25186567802523829"/>
          <c:y val="1.79213719281531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5223880597015"/>
          <c:y val="0.13620119358056668"/>
          <c:w val="0.82005188384689742"/>
          <c:h val="0.67186618340536153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66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cat>
            <c:numRef>
              <c:f>'Evolució Emissions 1990-2021'!$D$5:$AI$5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'Evolució Emissions 1990-2021'!$D$20:$AI$20</c:f>
              <c:numCache>
                <c:formatCode>#,##0</c:formatCode>
                <c:ptCount val="32"/>
                <c:pt idx="0">
                  <c:v>38941.705910774435</c:v>
                </c:pt>
                <c:pt idx="1">
                  <c:v>39823.804209428199</c:v>
                </c:pt>
                <c:pt idx="2">
                  <c:v>41294.984156591825</c:v>
                </c:pt>
                <c:pt idx="3">
                  <c:v>39916.380116996334</c:v>
                </c:pt>
                <c:pt idx="4">
                  <c:v>43654.367424947093</c:v>
                </c:pt>
                <c:pt idx="5">
                  <c:v>49215.780310015965</c:v>
                </c:pt>
                <c:pt idx="6">
                  <c:v>48147.189610261652</c:v>
                </c:pt>
                <c:pt idx="7">
                  <c:v>47990.247779997764</c:v>
                </c:pt>
                <c:pt idx="8">
                  <c:v>48347.596608922307</c:v>
                </c:pt>
                <c:pt idx="9">
                  <c:v>51022.74634591295</c:v>
                </c:pt>
                <c:pt idx="10">
                  <c:v>52534.892235933694</c:v>
                </c:pt>
                <c:pt idx="11">
                  <c:v>50841.05620888737</c:v>
                </c:pt>
                <c:pt idx="12">
                  <c:v>50117.569456131561</c:v>
                </c:pt>
                <c:pt idx="13">
                  <c:v>53305.516667315052</c:v>
                </c:pt>
                <c:pt idx="14">
                  <c:v>54940.893771346651</c:v>
                </c:pt>
                <c:pt idx="15">
                  <c:v>56867.057301914239</c:v>
                </c:pt>
                <c:pt idx="16">
                  <c:v>56034.931554366056</c:v>
                </c:pt>
                <c:pt idx="17">
                  <c:v>57110.234565003877</c:v>
                </c:pt>
                <c:pt idx="18">
                  <c:v>53526.811490282947</c:v>
                </c:pt>
                <c:pt idx="19">
                  <c:v>50000.532712361142</c:v>
                </c:pt>
                <c:pt idx="20">
                  <c:v>49071.266677002226</c:v>
                </c:pt>
                <c:pt idx="21">
                  <c:v>46701.019499813105</c:v>
                </c:pt>
                <c:pt idx="22">
                  <c:v>43935.388381521458</c:v>
                </c:pt>
                <c:pt idx="23">
                  <c:v>40852.115693333115</c:v>
                </c:pt>
                <c:pt idx="24">
                  <c:v>40954.211550098335</c:v>
                </c:pt>
                <c:pt idx="25">
                  <c:v>41770.714515210544</c:v>
                </c:pt>
                <c:pt idx="26">
                  <c:v>43024.107433434547</c:v>
                </c:pt>
                <c:pt idx="27">
                  <c:v>43747.847828081343</c:v>
                </c:pt>
                <c:pt idx="28">
                  <c:v>43503.475869145906</c:v>
                </c:pt>
                <c:pt idx="29">
                  <c:v>43554.018017077789</c:v>
                </c:pt>
                <c:pt idx="30">
                  <c:v>39836.769314456418</c:v>
                </c:pt>
                <c:pt idx="31">
                  <c:v>40396.206522983572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1A-4C4D-91FA-0930CE123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505536"/>
        <c:axId val="1"/>
      </c:lineChart>
      <c:catAx>
        <c:axId val="988505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/>
                  <a:t>Any</a:t>
                </a:r>
              </a:p>
            </c:rich>
          </c:tx>
          <c:layout>
            <c:manualLayout>
              <c:xMode val="edge"/>
              <c:yMode val="edge"/>
              <c:x val="0.47826132368102353"/>
              <c:y val="0.9345909341403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60000"/>
          <c:min val="3000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900" b="1" i="0" u="none" strike="noStrike" baseline="0">
                    <a:solidFill>
                      <a:srgbClr val="000000"/>
                    </a:solidFill>
                    <a:latin typeface="Arial" pitchFamily="2" charset="0"/>
                    <a:cs typeface="Arial" pitchFamily="2" charset="0"/>
                  </a:rPr>
                  <a:t>milers tones CO</a:t>
                </a:r>
                <a:r>
                  <a:rPr lang="es-ES_tradnl" sz="900" b="1" i="0" u="none" strike="noStrike" baseline="-25000">
                    <a:solidFill>
                      <a:srgbClr val="000000"/>
                    </a:solidFill>
                    <a:latin typeface="Arial" pitchFamily="2" charset="0"/>
                    <a:cs typeface="Arial" pitchFamily="2" charset="0"/>
                  </a:rPr>
                  <a:t>2</a:t>
                </a:r>
                <a:r>
                  <a:rPr lang="es-ES_tradnl" sz="900" b="1" i="0" u="none" strike="noStrike" baseline="0">
                    <a:solidFill>
                      <a:srgbClr val="000000"/>
                    </a:solidFill>
                    <a:latin typeface="Arial" pitchFamily="2" charset="0"/>
                    <a:cs typeface="Arial" pitchFamily="2" charset="0"/>
                  </a:rPr>
                  <a:t> eq</a:t>
                </a:r>
              </a:p>
            </c:rich>
          </c:tx>
          <c:layout>
            <c:manualLayout>
              <c:xMode val="edge"/>
              <c:yMode val="edge"/>
              <c:x val="1.4682135573533582E-2"/>
              <c:y val="0.2428324039566228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98850553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19050">
      <a:solidFill>
        <a:schemeClr val="accent1">
          <a:lumMod val="60000"/>
          <a:lumOff val="40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.51180555555555551" footer="0.51180555555555551"/>
    <c:pageSetup paperSize="9" firstPageNumber="0" orientation="landscape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36443</xdr:colOff>
      <xdr:row>26</xdr:row>
      <xdr:rowOff>136939</xdr:rowOff>
    </xdr:from>
    <xdr:to>
      <xdr:col>10</xdr:col>
      <xdr:colOff>483152</xdr:colOff>
      <xdr:row>48</xdr:row>
      <xdr:rowOff>138043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D02DC0-94C8-204D-9797-7F04412AB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  <pageSetUpPr fitToPage="1"/>
  </sheetPr>
  <dimension ref="A1:AN27"/>
  <sheetViews>
    <sheetView zoomScale="69" zoomScaleNormal="69" zoomScaleSheetLayoutView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L26" sqref="AL26"/>
    </sheetView>
  </sheetViews>
  <sheetFormatPr baseColWidth="10" defaultColWidth="9.1796875" defaultRowHeight="12.5" x14ac:dyDescent="0.25"/>
  <cols>
    <col min="1" max="2" width="11.453125" style="20" customWidth="1"/>
    <col min="3" max="3" width="38.1796875" style="20" customWidth="1"/>
    <col min="4" max="23" width="7.453125" style="20" customWidth="1"/>
    <col min="24" max="24" width="9.1796875" style="20" bestFit="1" customWidth="1"/>
    <col min="25" max="35" width="7.453125" style="20" customWidth="1"/>
    <col min="36" max="37" width="11" style="20" customWidth="1"/>
    <col min="38" max="38" width="58.54296875" style="20" bestFit="1" customWidth="1"/>
    <col min="39" max="16384" width="9.1796875" style="20"/>
  </cols>
  <sheetData>
    <row r="1" spans="1:40" ht="20" x14ac:dyDescent="0.4">
      <c r="A1" s="124" t="s">
        <v>120</v>
      </c>
      <c r="I1" s="114"/>
      <c r="J1" s="139"/>
      <c r="K1" s="139"/>
      <c r="L1" s="125"/>
    </row>
    <row r="2" spans="1:40" ht="13" customHeight="1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26"/>
      <c r="X2" s="126"/>
      <c r="Y2" s="126"/>
      <c r="Z2" s="126"/>
      <c r="AA2" s="126"/>
      <c r="AB2" s="127"/>
      <c r="AC2" s="126"/>
      <c r="AD2" s="126"/>
      <c r="AE2" s="126"/>
      <c r="AF2" s="126"/>
      <c r="AG2" s="126"/>
      <c r="AH2" s="126"/>
      <c r="AI2" s="126"/>
      <c r="AJ2" s="126"/>
    </row>
    <row r="3" spans="1:40" ht="13" thickBot="1" x14ac:dyDescent="0.3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26"/>
      <c r="X3" s="126"/>
      <c r="Y3" s="126"/>
      <c r="Z3" s="126"/>
      <c r="AA3" s="126"/>
      <c r="AB3" s="128"/>
      <c r="AC3" s="126"/>
      <c r="AD3" s="126"/>
      <c r="AE3" s="126"/>
      <c r="AF3" s="126"/>
      <c r="AG3" s="126"/>
      <c r="AH3" s="126"/>
      <c r="AI3" s="126"/>
      <c r="AJ3" s="126"/>
    </row>
    <row r="4" spans="1:40" ht="30" customHeight="1" thickBot="1" x14ac:dyDescent="0.3">
      <c r="D4" s="152" t="s">
        <v>81</v>
      </c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4"/>
      <c r="AJ4" s="167" t="s">
        <v>122</v>
      </c>
      <c r="AK4" s="168"/>
    </row>
    <row r="5" spans="1:40" ht="54.75" customHeight="1" thickBot="1" x14ac:dyDescent="0.3">
      <c r="A5" s="155" t="s">
        <v>82</v>
      </c>
      <c r="B5" s="156"/>
      <c r="C5" s="157"/>
      <c r="D5" s="151">
        <v>1990</v>
      </c>
      <c r="E5" s="148">
        <f>+D5+1</f>
        <v>1991</v>
      </c>
      <c r="F5" s="148">
        <f t="shared" ref="F5:R5" si="0">+E5+1</f>
        <v>1992</v>
      </c>
      <c r="G5" s="148">
        <f t="shared" si="0"/>
        <v>1993</v>
      </c>
      <c r="H5" s="148">
        <f t="shared" si="0"/>
        <v>1994</v>
      </c>
      <c r="I5" s="148">
        <f t="shared" si="0"/>
        <v>1995</v>
      </c>
      <c r="J5" s="148">
        <f t="shared" si="0"/>
        <v>1996</v>
      </c>
      <c r="K5" s="148">
        <f t="shared" si="0"/>
        <v>1997</v>
      </c>
      <c r="L5" s="148">
        <f t="shared" si="0"/>
        <v>1998</v>
      </c>
      <c r="M5" s="148">
        <f t="shared" si="0"/>
        <v>1999</v>
      </c>
      <c r="N5" s="148">
        <f t="shared" si="0"/>
        <v>2000</v>
      </c>
      <c r="O5" s="148">
        <f t="shared" si="0"/>
        <v>2001</v>
      </c>
      <c r="P5" s="148">
        <f t="shared" si="0"/>
        <v>2002</v>
      </c>
      <c r="Q5" s="148">
        <f t="shared" si="0"/>
        <v>2003</v>
      </c>
      <c r="R5" s="148">
        <f t="shared" si="0"/>
        <v>2004</v>
      </c>
      <c r="S5" s="148">
        <v>2005</v>
      </c>
      <c r="T5" s="148">
        <v>2006</v>
      </c>
      <c r="U5" s="148">
        <v>2007</v>
      </c>
      <c r="V5" s="148">
        <v>2008</v>
      </c>
      <c r="W5" s="149">
        <v>2009</v>
      </c>
      <c r="X5" s="149">
        <v>2010</v>
      </c>
      <c r="Y5" s="149">
        <v>2011</v>
      </c>
      <c r="Z5" s="149">
        <v>2012</v>
      </c>
      <c r="AA5" s="149">
        <v>2013</v>
      </c>
      <c r="AB5" s="149">
        <v>2014</v>
      </c>
      <c r="AC5" s="149">
        <v>2015</v>
      </c>
      <c r="AD5" s="149">
        <v>2016</v>
      </c>
      <c r="AE5" s="149">
        <v>2017</v>
      </c>
      <c r="AF5" s="149">
        <v>2018</v>
      </c>
      <c r="AG5" s="149">
        <v>2019</v>
      </c>
      <c r="AH5" s="149">
        <v>2020</v>
      </c>
      <c r="AI5" s="150">
        <v>2021</v>
      </c>
      <c r="AJ5" s="144" t="s">
        <v>83</v>
      </c>
      <c r="AK5" s="145" t="s">
        <v>84</v>
      </c>
    </row>
    <row r="6" spans="1:40" ht="13" x14ac:dyDescent="0.25">
      <c r="A6" s="158" t="s">
        <v>124</v>
      </c>
      <c r="B6" s="158"/>
      <c r="C6" s="158"/>
      <c r="D6" s="137">
        <v>25926.769444486756</v>
      </c>
      <c r="E6" s="137">
        <v>27249.762094044698</v>
      </c>
      <c r="F6" s="137">
        <v>28177.943003341894</v>
      </c>
      <c r="G6" s="137">
        <v>26994.06852125327</v>
      </c>
      <c r="H6" s="137">
        <v>29133.036788630568</v>
      </c>
      <c r="I6" s="137">
        <v>33208.336988042516</v>
      </c>
      <c r="J6" s="137">
        <v>31406.140668040549</v>
      </c>
      <c r="K6" s="137">
        <v>30753.522558584125</v>
      </c>
      <c r="L6" s="137">
        <v>31031.293511566888</v>
      </c>
      <c r="M6" s="137">
        <v>31969.463343665197</v>
      </c>
      <c r="N6" s="137">
        <v>32480.892578669635</v>
      </c>
      <c r="O6" s="137">
        <v>33470.384808623188</v>
      </c>
      <c r="P6" s="137">
        <v>34790.203483658486</v>
      </c>
      <c r="Q6" s="137">
        <v>36792.766961115769</v>
      </c>
      <c r="R6" s="137">
        <v>38988.200057704766</v>
      </c>
      <c r="S6" s="137">
        <v>41060.929265412262</v>
      </c>
      <c r="T6" s="137">
        <v>40102.646726140731</v>
      </c>
      <c r="U6" s="137">
        <v>40420.295016936645</v>
      </c>
      <c r="V6" s="137">
        <v>38665.120578171729</v>
      </c>
      <c r="W6" s="137">
        <v>35479.138619920668</v>
      </c>
      <c r="X6" s="137">
        <v>34840.292423973973</v>
      </c>
      <c r="Y6" s="137">
        <v>32767.189222557667</v>
      </c>
      <c r="Z6" s="137">
        <v>30220.217327048744</v>
      </c>
      <c r="AA6" s="137">
        <v>28440.896617912367</v>
      </c>
      <c r="AB6" s="137">
        <v>27603.858563569007</v>
      </c>
      <c r="AC6" s="137">
        <v>29086.533944641797</v>
      </c>
      <c r="AD6" s="137">
        <v>30260.17811155337</v>
      </c>
      <c r="AE6" s="137">
        <v>31307.809840809809</v>
      </c>
      <c r="AF6" s="137">
        <v>31531.907095893665</v>
      </c>
      <c r="AG6" s="137">
        <v>31671.166565554151</v>
      </c>
      <c r="AH6" s="137">
        <v>28300.125757962036</v>
      </c>
      <c r="AI6" s="137">
        <v>28909.518442537643</v>
      </c>
      <c r="AJ6" s="142">
        <f>AI6-AH6</f>
        <v>609.39268457560684</v>
      </c>
      <c r="AK6" s="146">
        <f>AI6/AH6-1</f>
        <v>2.1533214720933058E-2</v>
      </c>
      <c r="AL6" s="169" t="s">
        <v>85</v>
      </c>
      <c r="AM6" s="170"/>
      <c r="AN6" s="171"/>
    </row>
    <row r="7" spans="1:40" ht="13" x14ac:dyDescent="0.25">
      <c r="A7" s="159" t="s">
        <v>86</v>
      </c>
      <c r="B7" s="159"/>
      <c r="C7" s="159"/>
      <c r="D7" s="129">
        <v>25747.074170713408</v>
      </c>
      <c r="E7" s="129">
        <v>27050.954140429196</v>
      </c>
      <c r="F7" s="129">
        <v>27978.641782658193</v>
      </c>
      <c r="G7" s="129">
        <v>26799.759714719097</v>
      </c>
      <c r="H7" s="129">
        <v>28924.575003149152</v>
      </c>
      <c r="I7" s="129">
        <v>33012.059034980615</v>
      </c>
      <c r="J7" s="129">
        <v>31249.223170897523</v>
      </c>
      <c r="K7" s="129">
        <v>30602.50748348458</v>
      </c>
      <c r="L7" s="129">
        <v>30858.008039201752</v>
      </c>
      <c r="M7" s="129">
        <v>31809.681921332322</v>
      </c>
      <c r="N7" s="129">
        <v>32331.690219565306</v>
      </c>
      <c r="O7" s="129">
        <v>33319.602419524555</v>
      </c>
      <c r="P7" s="129">
        <v>34627.626399054672</v>
      </c>
      <c r="Q7" s="129">
        <v>36649.824787032288</v>
      </c>
      <c r="R7" s="129">
        <v>38842.584655990438</v>
      </c>
      <c r="S7" s="129">
        <v>40897.901291119801</v>
      </c>
      <c r="T7" s="129">
        <v>39926.488295405121</v>
      </c>
      <c r="U7" s="129">
        <v>40237.097582561633</v>
      </c>
      <c r="V7" s="129">
        <v>38455.554950302329</v>
      </c>
      <c r="W7" s="129">
        <v>35248.028035820425</v>
      </c>
      <c r="X7" s="129">
        <v>34709.331172877195</v>
      </c>
      <c r="Y7" s="129">
        <v>32580.651845272885</v>
      </c>
      <c r="Z7" s="129">
        <v>30121.286851057757</v>
      </c>
      <c r="AA7" s="129">
        <v>28300.451712284928</v>
      </c>
      <c r="AB7" s="129">
        <v>27477.683308121163</v>
      </c>
      <c r="AC7" s="129">
        <v>29004.390972922283</v>
      </c>
      <c r="AD7" s="129">
        <v>30155.936530910287</v>
      </c>
      <c r="AE7" s="129">
        <v>31235.272444145248</v>
      </c>
      <c r="AF7" s="129">
        <v>31415.804861938719</v>
      </c>
      <c r="AG7" s="129">
        <v>31554.730189642669</v>
      </c>
      <c r="AH7" s="129">
        <v>28197.968352944958</v>
      </c>
      <c r="AI7" s="129">
        <v>28834.851758133136</v>
      </c>
      <c r="AJ7" s="143">
        <f t="shared" ref="AJ7:AJ20" si="1">AI7-AH7</f>
        <v>636.88340518817859</v>
      </c>
      <c r="AK7" s="147">
        <f t="shared" ref="AK7:AK20" si="2">AI7/AH7-1</f>
        <v>2.2586145115722989E-2</v>
      </c>
      <c r="AL7" s="172" t="s">
        <v>86</v>
      </c>
      <c r="AM7" s="159"/>
      <c r="AN7" s="173"/>
    </row>
    <row r="8" spans="1:40" x14ac:dyDescent="0.25">
      <c r="A8" s="160" t="s">
        <v>87</v>
      </c>
      <c r="B8" s="160"/>
      <c r="C8" s="160"/>
      <c r="D8" s="130">
        <v>3968.2508854645062</v>
      </c>
      <c r="E8" s="130">
        <v>3775.2145417626721</v>
      </c>
      <c r="F8" s="130">
        <v>3711.4562209669953</v>
      </c>
      <c r="G8" s="130">
        <v>2826.2283038373339</v>
      </c>
      <c r="H8" s="130">
        <v>2911.529446878857</v>
      </c>
      <c r="I8" s="130">
        <v>3303.310828398889</v>
      </c>
      <c r="J8" s="130">
        <v>3556.3311733259866</v>
      </c>
      <c r="K8" s="130">
        <v>3931.5784722002536</v>
      </c>
      <c r="L8" s="130">
        <v>3614.0153160199789</v>
      </c>
      <c r="M8" s="130">
        <v>4110.5269750928474</v>
      </c>
      <c r="N8" s="130">
        <v>4088.3070562079738</v>
      </c>
      <c r="O8" s="130">
        <v>4089.6126961698542</v>
      </c>
      <c r="P8" s="130">
        <v>5362.2205904691809</v>
      </c>
      <c r="Q8" s="130">
        <v>5411.3416419959758</v>
      </c>
      <c r="R8" s="130">
        <v>7424.0926191042936</v>
      </c>
      <c r="S8" s="130">
        <v>8639.1840730663735</v>
      </c>
      <c r="T8" s="130">
        <v>8258.6655975042577</v>
      </c>
      <c r="U8" s="130">
        <v>8349.4140550165885</v>
      </c>
      <c r="V8" s="130">
        <v>8174.358334396381</v>
      </c>
      <c r="W8" s="130">
        <v>7168.2436400138304</v>
      </c>
      <c r="X8" s="130">
        <v>6515.1384896120662</v>
      </c>
      <c r="Y8" s="130">
        <v>6384.3125933632591</v>
      </c>
      <c r="Z8" s="130">
        <v>5808.6642945492604</v>
      </c>
      <c r="AA8" s="130">
        <v>4637.6405866693312</v>
      </c>
      <c r="AB8" s="130">
        <v>4384.9113415597003</v>
      </c>
      <c r="AC8" s="130">
        <v>5076.1797154246078</v>
      </c>
      <c r="AD8" s="130">
        <v>5126.1736312251833</v>
      </c>
      <c r="AE8" s="130">
        <v>5469.0675224737179</v>
      </c>
      <c r="AF8" s="130">
        <v>5015.6154479806237</v>
      </c>
      <c r="AG8" s="130">
        <v>5726.9470779168405</v>
      </c>
      <c r="AH8" s="130">
        <v>4152.1044893130011</v>
      </c>
      <c r="AI8" s="130">
        <v>4213.6344081285115</v>
      </c>
      <c r="AJ8" s="143">
        <f t="shared" si="1"/>
        <v>61.529918815510428</v>
      </c>
      <c r="AK8" s="147">
        <f t="shared" si="2"/>
        <v>1.4818971674215087E-2</v>
      </c>
      <c r="AL8" s="161" t="s">
        <v>87</v>
      </c>
      <c r="AM8" s="160"/>
      <c r="AN8" s="162"/>
    </row>
    <row r="9" spans="1:40" x14ac:dyDescent="0.25">
      <c r="A9" s="160" t="s">
        <v>88</v>
      </c>
      <c r="B9" s="160"/>
      <c r="C9" s="160"/>
      <c r="D9" s="130">
        <v>7633.1252204191669</v>
      </c>
      <c r="E9" s="130">
        <v>8020.8217303170413</v>
      </c>
      <c r="F9" s="130">
        <v>7900.6545480553259</v>
      </c>
      <c r="G9" s="130">
        <v>8091.6615411835728</v>
      </c>
      <c r="H9" s="130">
        <v>9460.134165666861</v>
      </c>
      <c r="I9" s="130">
        <v>12132.770836216576</v>
      </c>
      <c r="J9" s="130">
        <v>10543.019323602373</v>
      </c>
      <c r="K9" s="130">
        <v>9777.2794120985254</v>
      </c>
      <c r="L9" s="130">
        <v>9785.7678717029394</v>
      </c>
      <c r="M9" s="130">
        <v>10077.770158735324</v>
      </c>
      <c r="N9" s="130">
        <v>9887.7878563567792</v>
      </c>
      <c r="O9" s="130">
        <v>10100.354528830536</v>
      </c>
      <c r="P9" s="130">
        <v>10376.515921162756</v>
      </c>
      <c r="Q9" s="130">
        <v>11436.55531773383</v>
      </c>
      <c r="R9" s="130">
        <v>11058.8251048289</v>
      </c>
      <c r="S9" s="130">
        <v>11287.91489743614</v>
      </c>
      <c r="T9" s="130">
        <v>8992.4159163035238</v>
      </c>
      <c r="U9" s="130">
        <v>9154.985701311065</v>
      </c>
      <c r="V9" s="130">
        <v>8692.7769672934683</v>
      </c>
      <c r="W9" s="130">
        <v>7252.5009567520265</v>
      </c>
      <c r="X9" s="130">
        <v>7502.4480268385487</v>
      </c>
      <c r="Y9" s="130">
        <v>6984.7292591120367</v>
      </c>
      <c r="Z9" s="130">
        <v>6821.4101367754174</v>
      </c>
      <c r="AA9" s="130">
        <v>6403.6156545247786</v>
      </c>
      <c r="AB9" s="130">
        <v>6074.5282365640578</v>
      </c>
      <c r="AC9" s="130">
        <v>6688.8330517060167</v>
      </c>
      <c r="AD9" s="130">
        <v>7197.3749611662433</v>
      </c>
      <c r="AE9" s="130">
        <v>7488.471152860182</v>
      </c>
      <c r="AF9" s="130">
        <v>7775.87687936371</v>
      </c>
      <c r="AG9" s="130">
        <v>7556.284492650525</v>
      </c>
      <c r="AH9" s="130">
        <v>7274.4756910902051</v>
      </c>
      <c r="AI9" s="130">
        <v>7394.3066434892362</v>
      </c>
      <c r="AJ9" s="143">
        <f t="shared" si="1"/>
        <v>119.83095239903105</v>
      </c>
      <c r="AK9" s="147">
        <f t="shared" si="2"/>
        <v>1.6472795770807291E-2</v>
      </c>
      <c r="AL9" s="161" t="s">
        <v>88</v>
      </c>
      <c r="AM9" s="160"/>
      <c r="AN9" s="162"/>
    </row>
    <row r="10" spans="1:40" ht="13.5" x14ac:dyDescent="0.25">
      <c r="A10" s="160" t="s">
        <v>89</v>
      </c>
      <c r="B10" s="160"/>
      <c r="C10" s="160"/>
      <c r="D10" s="130">
        <v>10687.137725861734</v>
      </c>
      <c r="E10" s="130">
        <v>11122.874617518481</v>
      </c>
      <c r="F10" s="130">
        <v>11987.890767733867</v>
      </c>
      <c r="G10" s="130">
        <v>11413.007408204188</v>
      </c>
      <c r="H10" s="130">
        <v>12421.984246250429</v>
      </c>
      <c r="I10" s="130">
        <v>12499.248750851151</v>
      </c>
      <c r="J10" s="130">
        <v>12527.608323309163</v>
      </c>
      <c r="K10" s="130">
        <v>12336.365857511802</v>
      </c>
      <c r="L10" s="130">
        <v>13136.787308431833</v>
      </c>
      <c r="M10" s="130">
        <v>13212.337197724151</v>
      </c>
      <c r="N10" s="130">
        <v>13494.38195720855</v>
      </c>
      <c r="O10" s="130">
        <v>13997.418751024165</v>
      </c>
      <c r="P10" s="130">
        <v>13790.809347488739</v>
      </c>
      <c r="Q10" s="130">
        <v>14484.196911853489</v>
      </c>
      <c r="R10" s="130">
        <v>14904.008402795243</v>
      </c>
      <c r="S10" s="130">
        <v>15151.033964648293</v>
      </c>
      <c r="T10" s="130">
        <v>16071.80758468434</v>
      </c>
      <c r="U10" s="130">
        <v>16580.427166708978</v>
      </c>
      <c r="V10" s="130">
        <v>15392.943329968472</v>
      </c>
      <c r="W10" s="130">
        <v>14479.173808975567</v>
      </c>
      <c r="X10" s="130">
        <v>13666.664869231578</v>
      </c>
      <c r="Y10" s="130">
        <v>13182.15633256959</v>
      </c>
      <c r="Z10" s="130">
        <v>11632.889889763079</v>
      </c>
      <c r="AA10" s="130">
        <v>11978.993806869817</v>
      </c>
      <c r="AB10" s="130">
        <v>12026.708177479404</v>
      </c>
      <c r="AC10" s="130">
        <v>12309.126604265659</v>
      </c>
      <c r="AD10" s="130">
        <v>12851.961166176861</v>
      </c>
      <c r="AE10" s="130">
        <v>13245.193864224351</v>
      </c>
      <c r="AF10" s="130">
        <v>13309.259891364385</v>
      </c>
      <c r="AG10" s="130">
        <v>13163.663774647301</v>
      </c>
      <c r="AH10" s="130">
        <v>11698.086455641749</v>
      </c>
      <c r="AI10" s="130">
        <v>12010.459668821388</v>
      </c>
      <c r="AJ10" s="143">
        <f t="shared" si="1"/>
        <v>312.3732131796387</v>
      </c>
      <c r="AK10" s="147">
        <f t="shared" si="2"/>
        <v>2.6702932515000111E-2</v>
      </c>
      <c r="AL10" s="161" t="s">
        <v>89</v>
      </c>
      <c r="AM10" s="160"/>
      <c r="AN10" s="162"/>
    </row>
    <row r="11" spans="1:40" x14ac:dyDescent="0.25">
      <c r="A11" s="160" t="s">
        <v>90</v>
      </c>
      <c r="B11" s="160"/>
      <c r="C11" s="160"/>
      <c r="D11" s="130">
        <v>3416.675028918</v>
      </c>
      <c r="E11" s="130">
        <v>4089.8990194749999</v>
      </c>
      <c r="F11" s="130">
        <v>4333.3844382120005</v>
      </c>
      <c r="G11" s="130">
        <v>4428.0749980300006</v>
      </c>
      <c r="H11" s="130">
        <v>4090.3064917670004</v>
      </c>
      <c r="I11" s="130">
        <v>5030.1470732700009</v>
      </c>
      <c r="J11" s="130">
        <v>4573.1310874400006</v>
      </c>
      <c r="K11" s="130">
        <v>4505.5812615180002</v>
      </c>
      <c r="L11" s="130">
        <v>4269.0100460759995</v>
      </c>
      <c r="M11" s="130">
        <v>4353.2509058690002</v>
      </c>
      <c r="N11" s="130">
        <v>4804.4611909579999</v>
      </c>
      <c r="O11" s="130">
        <v>5073.3733954420004</v>
      </c>
      <c r="P11" s="130">
        <v>5041.0720686050008</v>
      </c>
      <c r="Q11" s="130">
        <v>5257.5097714599988</v>
      </c>
      <c r="R11" s="130">
        <v>5388.8728939900002</v>
      </c>
      <c r="S11" s="130">
        <v>5748.6983072060011</v>
      </c>
      <c r="T11" s="130">
        <v>6531.5123327210003</v>
      </c>
      <c r="U11" s="130">
        <v>6078.4647056050007</v>
      </c>
      <c r="V11" s="130">
        <v>6120.0559208539999</v>
      </c>
      <c r="W11" s="130">
        <v>6283.5551782739994</v>
      </c>
      <c r="X11" s="130">
        <v>6954.7101612639999</v>
      </c>
      <c r="Y11" s="130">
        <v>5962.2375798980001</v>
      </c>
      <c r="Z11" s="130">
        <v>5801.4215053079997</v>
      </c>
      <c r="AA11" s="131">
        <v>5236.6505438450004</v>
      </c>
      <c r="AB11" s="131">
        <v>4941.9578474810005</v>
      </c>
      <c r="AC11" s="131">
        <v>4877.7802632479998</v>
      </c>
      <c r="AD11" s="131">
        <v>4923.3441422000005</v>
      </c>
      <c r="AE11" s="131">
        <v>4974.4695366970009</v>
      </c>
      <c r="AF11" s="131">
        <v>5264.1477736660017</v>
      </c>
      <c r="AG11" s="131">
        <v>5059.2026355039998</v>
      </c>
      <c r="AH11" s="131">
        <v>5026.6533586380001</v>
      </c>
      <c r="AI11" s="131">
        <v>5165.8516348129997</v>
      </c>
      <c r="AJ11" s="143">
        <f t="shared" si="1"/>
        <v>139.19827617499959</v>
      </c>
      <c r="AK11" s="147">
        <f t="shared" si="2"/>
        <v>2.7692038070577407E-2</v>
      </c>
      <c r="AL11" s="161" t="s">
        <v>90</v>
      </c>
      <c r="AM11" s="160"/>
      <c r="AN11" s="162"/>
    </row>
    <row r="12" spans="1:40" x14ac:dyDescent="0.25">
      <c r="A12" s="160" t="s">
        <v>91</v>
      </c>
      <c r="B12" s="160"/>
      <c r="C12" s="160"/>
      <c r="D12" s="130">
        <v>41.885310050000001</v>
      </c>
      <c r="E12" s="130">
        <v>42.144231355999999</v>
      </c>
      <c r="F12" s="130">
        <v>45.255807690000005</v>
      </c>
      <c r="G12" s="130">
        <v>40.787463463999998</v>
      </c>
      <c r="H12" s="130">
        <v>40.620652585999999</v>
      </c>
      <c r="I12" s="130">
        <v>46.581546244000009</v>
      </c>
      <c r="J12" s="130">
        <v>49.133263219999996</v>
      </c>
      <c r="K12" s="130">
        <v>51.702480156</v>
      </c>
      <c r="L12" s="130">
        <v>52.427496970999997</v>
      </c>
      <c r="M12" s="130">
        <v>55.796683911000002</v>
      </c>
      <c r="N12" s="130">
        <v>56.752158834000006</v>
      </c>
      <c r="O12" s="130">
        <v>58.843048057999994</v>
      </c>
      <c r="P12" s="130">
        <v>57.008471328999995</v>
      </c>
      <c r="Q12" s="130">
        <v>60.221143988999998</v>
      </c>
      <c r="R12" s="130">
        <v>66.785635272000007</v>
      </c>
      <c r="S12" s="130">
        <v>71.070048763000017</v>
      </c>
      <c r="T12" s="130">
        <v>72.086864192000007</v>
      </c>
      <c r="U12" s="130">
        <v>73.805953920000007</v>
      </c>
      <c r="V12" s="130">
        <v>75.42039779000001</v>
      </c>
      <c r="W12" s="130">
        <v>64.554451804999999</v>
      </c>
      <c r="X12" s="130">
        <v>70.369625930999987</v>
      </c>
      <c r="Y12" s="130">
        <v>67.216080329999997</v>
      </c>
      <c r="Z12" s="130">
        <v>56.901024662000005</v>
      </c>
      <c r="AA12" s="130">
        <v>43.551120376</v>
      </c>
      <c r="AB12" s="130">
        <v>49.577705037000008</v>
      </c>
      <c r="AC12" s="130">
        <v>52.471338277999998</v>
      </c>
      <c r="AD12" s="130">
        <v>57.082630141999992</v>
      </c>
      <c r="AE12" s="130">
        <v>58.07036789</v>
      </c>
      <c r="AF12" s="130">
        <v>50.904869563999995</v>
      </c>
      <c r="AG12" s="130">
        <v>48.632208923999997</v>
      </c>
      <c r="AH12" s="130">
        <v>46.648358261999995</v>
      </c>
      <c r="AI12" s="130">
        <v>50.599402880999989</v>
      </c>
      <c r="AJ12" s="143">
        <f t="shared" si="1"/>
        <v>3.9510446189999939</v>
      </c>
      <c r="AK12" s="147">
        <f t="shared" si="2"/>
        <v>8.4698470990318464E-2</v>
      </c>
      <c r="AL12" s="161" t="s">
        <v>91</v>
      </c>
      <c r="AM12" s="160"/>
      <c r="AN12" s="162"/>
    </row>
    <row r="13" spans="1:40" ht="13" x14ac:dyDescent="0.25">
      <c r="A13" s="166" t="s">
        <v>92</v>
      </c>
      <c r="B13" s="166"/>
      <c r="C13" s="166"/>
      <c r="D13" s="129">
        <v>179.69527377334853</v>
      </c>
      <c r="E13" s="129">
        <v>198.80795361550187</v>
      </c>
      <c r="F13" s="129">
        <v>199.30122068370335</v>
      </c>
      <c r="G13" s="129">
        <v>194.30880653417464</v>
      </c>
      <c r="H13" s="129">
        <v>208.46178548142026</v>
      </c>
      <c r="I13" s="129">
        <v>196.2779530618977</v>
      </c>
      <c r="J13" s="129">
        <v>156.91749714302605</v>
      </c>
      <c r="K13" s="129">
        <v>151.01507509954774</v>
      </c>
      <c r="L13" s="129">
        <v>173.28547236513734</v>
      </c>
      <c r="M13" s="129">
        <v>159.78142233287252</v>
      </c>
      <c r="N13" s="129">
        <v>149.20235910432538</v>
      </c>
      <c r="O13" s="129">
        <v>150.78238909863725</v>
      </c>
      <c r="P13" s="129">
        <v>162.57708460381451</v>
      </c>
      <c r="Q13" s="129">
        <v>142.94217408347563</v>
      </c>
      <c r="R13" s="129">
        <v>145.61540171432401</v>
      </c>
      <c r="S13" s="129">
        <v>163.02797429245081</v>
      </c>
      <c r="T13" s="129">
        <v>176.15843073560475</v>
      </c>
      <c r="U13" s="129">
        <v>183.19743437500719</v>
      </c>
      <c r="V13" s="129">
        <v>209.5656278694027</v>
      </c>
      <c r="W13" s="129">
        <v>231.11058410024938</v>
      </c>
      <c r="X13" s="129">
        <v>130.96125109678221</v>
      </c>
      <c r="Y13" s="129">
        <v>186.53737728478166</v>
      </c>
      <c r="Z13" s="129">
        <v>98.930475990984363</v>
      </c>
      <c r="AA13" s="129">
        <v>140.44490562743883</v>
      </c>
      <c r="AB13" s="129">
        <v>126.1752554478433</v>
      </c>
      <c r="AC13" s="129">
        <v>82.142971719514222</v>
      </c>
      <c r="AD13" s="129">
        <v>104.24158064308743</v>
      </c>
      <c r="AE13" s="129">
        <v>72.537396664562209</v>
      </c>
      <c r="AF13" s="129">
        <v>116.1022339549459</v>
      </c>
      <c r="AG13" s="129">
        <v>116.4363759114825</v>
      </c>
      <c r="AH13" s="129">
        <v>102.15740501707823</v>
      </c>
      <c r="AI13" s="129">
        <v>74.666684404509326</v>
      </c>
      <c r="AJ13" s="143">
        <f t="shared" si="1"/>
        <v>-27.490720612568907</v>
      </c>
      <c r="AK13" s="147">
        <f t="shared" si="2"/>
        <v>-0.26910159481804696</v>
      </c>
      <c r="AL13" s="177" t="s">
        <v>92</v>
      </c>
      <c r="AM13" s="166"/>
      <c r="AN13" s="178"/>
    </row>
    <row r="14" spans="1:40" x14ac:dyDescent="0.25">
      <c r="A14" s="160" t="s">
        <v>93</v>
      </c>
      <c r="B14" s="160"/>
      <c r="C14" s="160"/>
      <c r="D14" s="130">
        <v>39.873404479999998</v>
      </c>
      <c r="E14" s="130">
        <v>32.300564659999999</v>
      </c>
      <c r="F14" s="130">
        <v>26.906670699999999</v>
      </c>
      <c r="G14" s="130">
        <v>28.89709732</v>
      </c>
      <c r="H14" s="130">
        <v>35.145546799999998</v>
      </c>
      <c r="I14" s="130">
        <v>36.783932640000003</v>
      </c>
      <c r="J14" s="130">
        <v>41.84602786</v>
      </c>
      <c r="K14" s="130">
        <v>42.731921960000001</v>
      </c>
      <c r="L14" s="130">
        <v>35.966934639999998</v>
      </c>
      <c r="M14" s="130">
        <v>42.306107480000001</v>
      </c>
      <c r="N14" s="130">
        <v>38.774115379999998</v>
      </c>
      <c r="O14" s="130">
        <v>36.938308679999999</v>
      </c>
      <c r="P14" s="130">
        <v>28.696506020000001</v>
      </c>
      <c r="Q14" s="130">
        <v>24.021326420000001</v>
      </c>
      <c r="R14" s="130">
        <v>31.30358322</v>
      </c>
      <c r="S14" s="130">
        <v>26.600601300000001</v>
      </c>
      <c r="T14" s="130">
        <v>27.207618620000002</v>
      </c>
      <c r="U14" s="130">
        <v>18.109309400000001</v>
      </c>
      <c r="V14" s="130">
        <v>0</v>
      </c>
      <c r="W14" s="130">
        <v>0</v>
      </c>
      <c r="X14" s="130">
        <v>0</v>
      </c>
      <c r="Y14" s="130">
        <v>0</v>
      </c>
      <c r="Z14" s="130">
        <v>0</v>
      </c>
      <c r="AA14" s="130">
        <v>0</v>
      </c>
      <c r="AB14" s="130">
        <v>0</v>
      </c>
      <c r="AC14" s="130">
        <v>0</v>
      </c>
      <c r="AD14" s="130">
        <v>0</v>
      </c>
      <c r="AE14" s="130">
        <v>0</v>
      </c>
      <c r="AF14" s="130">
        <v>0</v>
      </c>
      <c r="AG14" s="130">
        <v>0</v>
      </c>
      <c r="AH14" s="130">
        <v>0</v>
      </c>
      <c r="AI14" s="130">
        <v>0</v>
      </c>
      <c r="AJ14" s="143">
        <f t="shared" si="1"/>
        <v>0</v>
      </c>
      <c r="AK14" s="147">
        <v>0</v>
      </c>
      <c r="AL14" s="161" t="s">
        <v>93</v>
      </c>
      <c r="AM14" s="160"/>
      <c r="AN14" s="162"/>
    </row>
    <row r="15" spans="1:40" x14ac:dyDescent="0.25">
      <c r="A15" s="160" t="s">
        <v>94</v>
      </c>
      <c r="B15" s="160"/>
      <c r="C15" s="160"/>
      <c r="D15" s="130">
        <v>139.82186929334853</v>
      </c>
      <c r="E15" s="130">
        <v>166.50738895550185</v>
      </c>
      <c r="F15" s="130">
        <v>172.39454998370334</v>
      </c>
      <c r="G15" s="130">
        <v>165.41170921417464</v>
      </c>
      <c r="H15" s="130">
        <v>173.31623868142026</v>
      </c>
      <c r="I15" s="130">
        <v>159.49402042189769</v>
      </c>
      <c r="J15" s="130">
        <v>115.07146928302603</v>
      </c>
      <c r="K15" s="130">
        <v>108.28315313954774</v>
      </c>
      <c r="L15" s="130">
        <v>137.31853772513733</v>
      </c>
      <c r="M15" s="130">
        <v>117.47531485287253</v>
      </c>
      <c r="N15" s="130">
        <v>110.4282437243254</v>
      </c>
      <c r="O15" s="130">
        <v>113.84408041863725</v>
      </c>
      <c r="P15" s="130">
        <v>133.8805785838145</v>
      </c>
      <c r="Q15" s="130">
        <v>118.92084766347566</v>
      </c>
      <c r="R15" s="130">
        <v>114.31181849432403</v>
      </c>
      <c r="S15" s="130">
        <v>136.42737299245081</v>
      </c>
      <c r="T15" s="130">
        <v>148.95081211560475</v>
      </c>
      <c r="U15" s="130">
        <v>165.08812497500719</v>
      </c>
      <c r="V15" s="130">
        <v>209.5656278694027</v>
      </c>
      <c r="W15" s="130">
        <v>231.11058410024938</v>
      </c>
      <c r="X15" s="130">
        <v>130.96125109678221</v>
      </c>
      <c r="Y15" s="130">
        <v>186.53737728478166</v>
      </c>
      <c r="Z15" s="130">
        <v>98.930475990984363</v>
      </c>
      <c r="AA15" s="130">
        <v>140.44490562743883</v>
      </c>
      <c r="AB15" s="130">
        <v>126.1752554478433</v>
      </c>
      <c r="AC15" s="130">
        <v>82.142971719514222</v>
      </c>
      <c r="AD15" s="130">
        <v>104.24158064308743</v>
      </c>
      <c r="AE15" s="130">
        <v>72.537396664562209</v>
      </c>
      <c r="AF15" s="130">
        <v>116.1022339549459</v>
      </c>
      <c r="AG15" s="130">
        <v>116.4363759114825</v>
      </c>
      <c r="AH15" s="130">
        <v>102.15740501707823</v>
      </c>
      <c r="AI15" s="130">
        <v>74.666684404509326</v>
      </c>
      <c r="AJ15" s="143">
        <f t="shared" si="1"/>
        <v>-27.490720612568907</v>
      </c>
      <c r="AK15" s="147">
        <f t="shared" si="2"/>
        <v>-0.26910159481804696</v>
      </c>
      <c r="AL15" s="161" t="s">
        <v>94</v>
      </c>
      <c r="AM15" s="160"/>
      <c r="AN15" s="162"/>
    </row>
    <row r="16" spans="1:40" ht="13" x14ac:dyDescent="0.25">
      <c r="A16" s="165" t="s">
        <v>125</v>
      </c>
      <c r="B16" s="165"/>
      <c r="C16" s="165"/>
      <c r="D16" s="129">
        <v>6308.1943165320581</v>
      </c>
      <c r="E16" s="129">
        <v>6139.6726137324795</v>
      </c>
      <c r="F16" s="129">
        <v>6637.7556274021199</v>
      </c>
      <c r="G16" s="129">
        <v>6395.577809005953</v>
      </c>
      <c r="H16" s="129">
        <v>7758.0506602103169</v>
      </c>
      <c r="I16" s="129">
        <v>8957.5228499912173</v>
      </c>
      <c r="J16" s="129">
        <v>9387.3824284191451</v>
      </c>
      <c r="K16" s="129">
        <v>9951.8791907921332</v>
      </c>
      <c r="L16" s="129">
        <v>9958.9232200826682</v>
      </c>
      <c r="M16" s="129">
        <v>11438.530986408245</v>
      </c>
      <c r="N16" s="129">
        <v>11980.143791993063</v>
      </c>
      <c r="O16" s="129">
        <v>9439.0401151891856</v>
      </c>
      <c r="P16" s="129">
        <v>7502.7482727475717</v>
      </c>
      <c r="Q16" s="129">
        <v>8827.0377171952805</v>
      </c>
      <c r="R16" s="129">
        <v>8745.5311806343889</v>
      </c>
      <c r="S16" s="129">
        <v>9024.950805602477</v>
      </c>
      <c r="T16" s="129">
        <v>9313.5589204000717</v>
      </c>
      <c r="U16" s="129">
        <v>9840.2068533114889</v>
      </c>
      <c r="V16" s="129">
        <v>8292.5291534182197</v>
      </c>
      <c r="W16" s="129">
        <v>7431.8272537189714</v>
      </c>
      <c r="X16" s="129">
        <v>7614.1420708027536</v>
      </c>
      <c r="Y16" s="129">
        <v>7102.6867601241938</v>
      </c>
      <c r="Z16" s="129">
        <v>6755.1337867299644</v>
      </c>
      <c r="AA16" s="129">
        <v>6165.9476340747506</v>
      </c>
      <c r="AB16" s="129">
        <v>6872.9515867653263</v>
      </c>
      <c r="AC16" s="129">
        <v>5975.1323801756907</v>
      </c>
      <c r="AD16" s="129">
        <v>6077.7671221369283</v>
      </c>
      <c r="AE16" s="129">
        <v>6022.6900509787893</v>
      </c>
      <c r="AF16" s="129">
        <v>5828.2158766495013</v>
      </c>
      <c r="AG16" s="129">
        <v>5673.3502385623888</v>
      </c>
      <c r="AH16" s="129">
        <v>5419.3229961193802</v>
      </c>
      <c r="AI16" s="129">
        <v>5319.8537536414296</v>
      </c>
      <c r="AJ16" s="143">
        <f t="shared" si="1"/>
        <v>-99.469242477950502</v>
      </c>
      <c r="AK16" s="147">
        <f t="shared" si="2"/>
        <v>-1.8354551398611529E-2</v>
      </c>
      <c r="AL16" s="179" t="s">
        <v>95</v>
      </c>
      <c r="AM16" s="165"/>
      <c r="AN16" s="180"/>
    </row>
    <row r="17" spans="1:40" ht="13" x14ac:dyDescent="0.25">
      <c r="A17" s="165" t="s">
        <v>126</v>
      </c>
      <c r="B17" s="165"/>
      <c r="C17" s="165"/>
      <c r="D17" s="129">
        <v>4173.1586153990002</v>
      </c>
      <c r="E17" s="129">
        <v>3875.3224554480003</v>
      </c>
      <c r="F17" s="129">
        <v>3899.1895204560005</v>
      </c>
      <c r="G17" s="129">
        <v>3925.8665283329997</v>
      </c>
      <c r="H17" s="129">
        <v>4065.2183354819995</v>
      </c>
      <c r="I17" s="129">
        <v>4299.9983711619998</v>
      </c>
      <c r="J17" s="129">
        <v>4540.1236227349991</v>
      </c>
      <c r="K17" s="129">
        <v>4405.6414108829995</v>
      </c>
      <c r="L17" s="129">
        <v>4468.9185379809996</v>
      </c>
      <c r="M17" s="129">
        <v>4662.3852459920008</v>
      </c>
      <c r="N17" s="129">
        <v>5144.978403404999</v>
      </c>
      <c r="O17" s="129">
        <v>4999.3083974679994</v>
      </c>
      <c r="P17" s="129">
        <v>4879.2918137680008</v>
      </c>
      <c r="Q17" s="129">
        <v>4897.7580397850006</v>
      </c>
      <c r="R17" s="129">
        <v>4658.3070272879995</v>
      </c>
      <c r="S17" s="129">
        <v>4072.0284794810004</v>
      </c>
      <c r="T17" s="129">
        <v>3776.734084536</v>
      </c>
      <c r="U17" s="129">
        <v>3896.9171431029999</v>
      </c>
      <c r="V17" s="129">
        <v>3680.9124563939995</v>
      </c>
      <c r="W17" s="129">
        <v>3710.1681464190005</v>
      </c>
      <c r="X17" s="129">
        <v>3524.9488038580002</v>
      </c>
      <c r="Y17" s="129">
        <v>3692.3104293609995</v>
      </c>
      <c r="Z17" s="129">
        <v>3656.639801666</v>
      </c>
      <c r="AA17" s="129">
        <v>3456.0837763950003</v>
      </c>
      <c r="AB17" s="129">
        <v>3695.2789931569996</v>
      </c>
      <c r="AC17" s="129">
        <v>3773.232121512</v>
      </c>
      <c r="AD17" s="129">
        <v>3793.4701137110001</v>
      </c>
      <c r="AE17" s="129">
        <v>3749.646519678</v>
      </c>
      <c r="AF17" s="129">
        <v>3792.2942519759999</v>
      </c>
      <c r="AG17" s="129">
        <v>3800.4104498359998</v>
      </c>
      <c r="AH17" s="129">
        <v>3757.7470889800002</v>
      </c>
      <c r="AI17" s="129">
        <v>3895.9132639729996</v>
      </c>
      <c r="AJ17" s="143">
        <f t="shared" si="1"/>
        <v>138.16617499299946</v>
      </c>
      <c r="AK17" s="147">
        <f t="shared" si="2"/>
        <v>3.6768353942229659E-2</v>
      </c>
      <c r="AL17" s="179" t="s">
        <v>96</v>
      </c>
      <c r="AM17" s="165"/>
      <c r="AN17" s="180"/>
    </row>
    <row r="18" spans="1:40" ht="13" x14ac:dyDescent="0.25">
      <c r="A18" s="174" t="s">
        <v>127</v>
      </c>
      <c r="B18" s="175"/>
      <c r="C18" s="176"/>
      <c r="D18" s="129">
        <v>0</v>
      </c>
      <c r="E18" s="129">
        <v>0</v>
      </c>
      <c r="F18" s="129">
        <v>0</v>
      </c>
      <c r="G18" s="129">
        <v>0</v>
      </c>
      <c r="H18" s="129">
        <v>0</v>
      </c>
      <c r="I18" s="129">
        <v>0</v>
      </c>
      <c r="J18" s="129">
        <v>0</v>
      </c>
      <c r="K18" s="129">
        <v>0</v>
      </c>
      <c r="L18" s="129">
        <v>0</v>
      </c>
      <c r="M18" s="129">
        <v>0</v>
      </c>
      <c r="N18" s="129">
        <v>0</v>
      </c>
      <c r="O18" s="129">
        <v>0</v>
      </c>
      <c r="P18" s="129">
        <v>0</v>
      </c>
      <c r="Q18" s="129">
        <v>0</v>
      </c>
      <c r="R18" s="129">
        <v>0</v>
      </c>
      <c r="S18" s="129">
        <v>0</v>
      </c>
      <c r="T18" s="129">
        <v>0</v>
      </c>
      <c r="U18" s="129">
        <v>0</v>
      </c>
      <c r="V18" s="129">
        <v>0</v>
      </c>
      <c r="W18" s="129">
        <v>0</v>
      </c>
      <c r="X18" s="129">
        <v>0</v>
      </c>
      <c r="Y18" s="129">
        <v>0</v>
      </c>
      <c r="Z18" s="129">
        <v>0</v>
      </c>
      <c r="AA18" s="129">
        <v>0</v>
      </c>
      <c r="AB18" s="129">
        <v>0</v>
      </c>
      <c r="AC18" s="129">
        <v>0</v>
      </c>
      <c r="AD18" s="129">
        <v>0</v>
      </c>
      <c r="AE18" s="129">
        <v>0</v>
      </c>
      <c r="AF18" s="129">
        <v>0</v>
      </c>
      <c r="AG18" s="129">
        <v>0</v>
      </c>
      <c r="AH18" s="129">
        <v>0</v>
      </c>
      <c r="AI18" s="129">
        <v>0</v>
      </c>
      <c r="AJ18" s="143">
        <f t="shared" si="1"/>
        <v>0</v>
      </c>
      <c r="AK18" s="147">
        <v>0</v>
      </c>
      <c r="AL18" s="184" t="s">
        <v>117</v>
      </c>
      <c r="AM18" s="175"/>
      <c r="AN18" s="185"/>
    </row>
    <row r="19" spans="1:40" ht="13.5" thickBot="1" x14ac:dyDescent="0.3">
      <c r="A19" s="165" t="s">
        <v>128</v>
      </c>
      <c r="B19" s="165"/>
      <c r="C19" s="165"/>
      <c r="D19" s="129">
        <v>2533.5835343566196</v>
      </c>
      <c r="E19" s="129">
        <v>2559.0470462030198</v>
      </c>
      <c r="F19" s="129">
        <v>2580.0960053918102</v>
      </c>
      <c r="G19" s="129">
        <v>2600.8672584041096</v>
      </c>
      <c r="H19" s="129">
        <v>2698.0616406242007</v>
      </c>
      <c r="I19" s="129">
        <v>2749.9221008202298</v>
      </c>
      <c r="J19" s="129">
        <v>2813.5428910669598</v>
      </c>
      <c r="K19" s="129">
        <v>2879.2046197385098</v>
      </c>
      <c r="L19" s="129">
        <v>2888.4613392917499</v>
      </c>
      <c r="M19" s="129">
        <v>2952.3667698475001</v>
      </c>
      <c r="N19" s="129">
        <v>2928.8774618660004</v>
      </c>
      <c r="O19" s="129">
        <v>2932.3228876070002</v>
      </c>
      <c r="P19" s="129">
        <v>2945.3258859575003</v>
      </c>
      <c r="Q19" s="129">
        <v>2787.9539492189997</v>
      </c>
      <c r="R19" s="129">
        <v>2548.8555057194999</v>
      </c>
      <c r="S19" s="129">
        <v>2709.1487514185005</v>
      </c>
      <c r="T19" s="129">
        <v>2841.9918232892496</v>
      </c>
      <c r="U19" s="129">
        <v>2952.8155516527499</v>
      </c>
      <c r="V19" s="129">
        <v>2888.2493022990002</v>
      </c>
      <c r="W19" s="129">
        <v>3379.3986923025</v>
      </c>
      <c r="X19" s="129">
        <v>3091.8833783675</v>
      </c>
      <c r="Y19" s="129">
        <v>3138.8330877702497</v>
      </c>
      <c r="Z19" s="129">
        <v>3303.3974660767499</v>
      </c>
      <c r="AA19" s="129">
        <v>2789.187664951</v>
      </c>
      <c r="AB19" s="129">
        <v>2782.1224066070004</v>
      </c>
      <c r="AC19" s="129">
        <v>2935.8160688810499</v>
      </c>
      <c r="AD19" s="129">
        <v>2892.6920860332502</v>
      </c>
      <c r="AE19" s="129">
        <v>2667.7014166147496</v>
      </c>
      <c r="AF19" s="129">
        <v>2351.0586446267498</v>
      </c>
      <c r="AG19" s="129">
        <v>2409.0907631252503</v>
      </c>
      <c r="AH19" s="129">
        <v>2359.5734713950005</v>
      </c>
      <c r="AI19" s="129">
        <v>2270.9210628315</v>
      </c>
      <c r="AJ19" s="143">
        <f t="shared" si="1"/>
        <v>-88.652408563500558</v>
      </c>
      <c r="AK19" s="147">
        <f t="shared" si="2"/>
        <v>-3.7571370265952586E-2</v>
      </c>
      <c r="AL19" s="181" t="s">
        <v>97</v>
      </c>
      <c r="AM19" s="182"/>
      <c r="AN19" s="183"/>
    </row>
    <row r="20" spans="1:40" ht="13.5" thickBot="1" x14ac:dyDescent="0.35">
      <c r="A20" s="163" t="s">
        <v>118</v>
      </c>
      <c r="B20" s="163"/>
      <c r="C20" s="163"/>
      <c r="D20" s="132">
        <v>38941.705910774435</v>
      </c>
      <c r="E20" s="132">
        <v>39823.804209428199</v>
      </c>
      <c r="F20" s="132">
        <v>41294.984156591825</v>
      </c>
      <c r="G20" s="132">
        <v>39916.380116996334</v>
      </c>
      <c r="H20" s="132">
        <v>43654.367424947093</v>
      </c>
      <c r="I20" s="132">
        <v>49215.780310015965</v>
      </c>
      <c r="J20" s="132">
        <v>48147.189610261652</v>
      </c>
      <c r="K20" s="132">
        <v>47990.247779997764</v>
      </c>
      <c r="L20" s="132">
        <v>48347.596608922307</v>
      </c>
      <c r="M20" s="132">
        <v>51022.74634591295</v>
      </c>
      <c r="N20" s="132">
        <v>52534.892235933694</v>
      </c>
      <c r="O20" s="132">
        <v>50841.05620888737</v>
      </c>
      <c r="P20" s="132">
        <v>50117.569456131561</v>
      </c>
      <c r="Q20" s="132">
        <v>53305.516667315052</v>
      </c>
      <c r="R20" s="132">
        <v>54940.893771346651</v>
      </c>
      <c r="S20" s="132">
        <v>56867.057301914239</v>
      </c>
      <c r="T20" s="132">
        <v>56034.931554366056</v>
      </c>
      <c r="U20" s="132">
        <v>57110.234565003877</v>
      </c>
      <c r="V20" s="132">
        <v>53526.811490282947</v>
      </c>
      <c r="W20" s="132">
        <v>50000.532712361142</v>
      </c>
      <c r="X20" s="132">
        <v>49071.266677002226</v>
      </c>
      <c r="Y20" s="132">
        <v>46701.019499813105</v>
      </c>
      <c r="Z20" s="132">
        <v>43935.388381521458</v>
      </c>
      <c r="AA20" s="132">
        <v>40852.115693333115</v>
      </c>
      <c r="AB20" s="132">
        <v>40954.211550098335</v>
      </c>
      <c r="AC20" s="132">
        <v>41770.714515210544</v>
      </c>
      <c r="AD20" s="132">
        <v>43024.107433434547</v>
      </c>
      <c r="AE20" s="132">
        <v>43747.847828081343</v>
      </c>
      <c r="AF20" s="132">
        <v>43503.475869145906</v>
      </c>
      <c r="AG20" s="132">
        <v>43554.018017077789</v>
      </c>
      <c r="AH20" s="132">
        <v>39836.769314456418</v>
      </c>
      <c r="AI20" s="132">
        <v>40396.206522983572</v>
      </c>
      <c r="AJ20" s="140">
        <f t="shared" si="1"/>
        <v>559.43720852715342</v>
      </c>
      <c r="AK20" s="141">
        <f t="shared" si="2"/>
        <v>1.4043237394859132E-2</v>
      </c>
      <c r="AL20" s="163" t="s">
        <v>118</v>
      </c>
      <c r="AM20" s="163"/>
      <c r="AN20" s="163"/>
    </row>
    <row r="21" spans="1:40" ht="13.5" thickBot="1" x14ac:dyDescent="0.3">
      <c r="A21" s="163" t="s">
        <v>119</v>
      </c>
      <c r="B21" s="163"/>
      <c r="C21" s="163"/>
      <c r="D21" s="133">
        <v>0</v>
      </c>
      <c r="E21" s="133">
        <v>2.2651763142448874E-2</v>
      </c>
      <c r="F21" s="133">
        <v>6.0430794973629597E-2</v>
      </c>
      <c r="G21" s="133">
        <v>2.502905775250653E-2</v>
      </c>
      <c r="H21" s="133">
        <v>0.1210183633190233</v>
      </c>
      <c r="I21" s="133">
        <v>0.26383216037792756</v>
      </c>
      <c r="J21" s="133">
        <v>0.23639138255985423</v>
      </c>
      <c r="K21" s="133">
        <v>0.2323612090840573</v>
      </c>
      <c r="L21" s="133">
        <v>0.24153771587971035</v>
      </c>
      <c r="M21" s="133">
        <v>0.31023398057648827</v>
      </c>
      <c r="N21" s="133">
        <v>0.34906499361647841</v>
      </c>
      <c r="O21" s="133">
        <v>0.30556828520500456</v>
      </c>
      <c r="P21" s="133">
        <v>0.28698957284932336</v>
      </c>
      <c r="Q21" s="133">
        <v>0.36885417370907786</v>
      </c>
      <c r="R21" s="133">
        <v>0.41084969151660977</v>
      </c>
      <c r="S21" s="133">
        <v>0.46031243295328256</v>
      </c>
      <c r="T21" s="133">
        <v>0.43894393539812154</v>
      </c>
      <c r="U21" s="133">
        <v>0.4665570813938727</v>
      </c>
      <c r="V21" s="133">
        <v>0.37453689401606538</v>
      </c>
      <c r="W21" s="133">
        <v>0.28398413841769932</v>
      </c>
      <c r="X21" s="133">
        <v>0.26012113566460715</v>
      </c>
      <c r="Y21" s="133">
        <v>0.19925458855904446</v>
      </c>
      <c r="Z21" s="133">
        <v>0.12823481544924731</v>
      </c>
      <c r="AA21" s="133">
        <v>4.905819449553455E-2</v>
      </c>
      <c r="AB21" s="133">
        <v>5.1679955776335849E-2</v>
      </c>
      <c r="AC21" s="133">
        <v>7.2647269508893692E-2</v>
      </c>
      <c r="AD21" s="133">
        <v>0.10483365911123549</v>
      </c>
      <c r="AE21" s="133">
        <v>0.12341888484081893</v>
      </c>
      <c r="AF21" s="133">
        <v>0.11714355731676654</v>
      </c>
      <c r="AG21" s="133">
        <v>0.11844144981402097</v>
      </c>
      <c r="AH21" s="133">
        <v>2.2984699379446954E-2</v>
      </c>
      <c r="AI21" s="133">
        <v>3.7350716364141189E-2</v>
      </c>
      <c r="AJ21" s="134"/>
      <c r="AK21" s="111"/>
    </row>
    <row r="22" spans="1:40" ht="14.5" x14ac:dyDescent="0.25">
      <c r="A22" s="21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134"/>
      <c r="AK22" s="111"/>
    </row>
    <row r="23" spans="1:40" ht="33.75" customHeight="1" x14ac:dyDescent="0.25">
      <c r="A23" s="164" t="s">
        <v>121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</row>
    <row r="24" spans="1:40" ht="7.5" customHeight="1" x14ac:dyDescent="0.25">
      <c r="A24" s="135"/>
    </row>
    <row r="25" spans="1:40" ht="18" x14ac:dyDescent="0.4">
      <c r="A25" s="23" t="s">
        <v>98</v>
      </c>
      <c r="C25" s="136" t="s">
        <v>123</v>
      </c>
      <c r="AC25" s="22"/>
      <c r="AD25" s="22"/>
      <c r="AE25" s="22"/>
      <c r="AF25" s="22"/>
      <c r="AG25" s="22"/>
      <c r="AH25" s="22"/>
    </row>
    <row r="26" spans="1:40" x14ac:dyDescent="0.25">
      <c r="AI26" s="22"/>
    </row>
    <row r="27" spans="1:40" x14ac:dyDescent="0.25">
      <c r="AI27" s="22"/>
    </row>
  </sheetData>
  <mergeCells count="35">
    <mergeCell ref="AL20:AN20"/>
    <mergeCell ref="AL18:AN18"/>
    <mergeCell ref="AL14:AN14"/>
    <mergeCell ref="AL15:AN15"/>
    <mergeCell ref="AL16:AN16"/>
    <mergeCell ref="AL17:AN17"/>
    <mergeCell ref="AL19:AN19"/>
    <mergeCell ref="A13:C13"/>
    <mergeCell ref="AJ4:AK4"/>
    <mergeCell ref="AL6:AN6"/>
    <mergeCell ref="AL7:AN7"/>
    <mergeCell ref="AL8:AN8"/>
    <mergeCell ref="AL9:AN9"/>
    <mergeCell ref="AL11:AN11"/>
    <mergeCell ref="AL12:AN12"/>
    <mergeCell ref="AL13:AN13"/>
    <mergeCell ref="A20:C20"/>
    <mergeCell ref="A21:C21"/>
    <mergeCell ref="A23:R23"/>
    <mergeCell ref="A14:C14"/>
    <mergeCell ref="A15:C15"/>
    <mergeCell ref="A16:C16"/>
    <mergeCell ref="A17:C17"/>
    <mergeCell ref="A19:C19"/>
    <mergeCell ref="A18:C18"/>
    <mergeCell ref="A9:C9"/>
    <mergeCell ref="A10:C10"/>
    <mergeCell ref="A11:C11"/>
    <mergeCell ref="A12:C12"/>
    <mergeCell ref="AL10:AN10"/>
    <mergeCell ref="D4:AI4"/>
    <mergeCell ref="A5:C5"/>
    <mergeCell ref="A6:C6"/>
    <mergeCell ref="A7:C7"/>
    <mergeCell ref="A8:C8"/>
  </mergeCells>
  <printOptions horizontalCentered="1" verticalCentered="1"/>
  <pageMargins left="0.19652777777777777" right="0.19652777777777777" top="0" bottom="0" header="0.51180555555555551" footer="0.51180555555555551"/>
  <pageSetup paperSize="8" scale="65" firstPageNumber="0" orientation="landscape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C2F0"/>
    <pageSetUpPr fitToPage="1"/>
  </sheetPr>
  <dimension ref="A1:AL54"/>
  <sheetViews>
    <sheetView tabSelected="1" topLeftCell="A2" zoomScale="110" zoomScaleNormal="110" workbookViewId="0">
      <pane xSplit="1" ySplit="3" topLeftCell="B5" activePane="bottomRight" state="frozen"/>
      <selection activeCell="A2" sqref="A2"/>
      <selection pane="topRight" activeCell="M2" sqref="M2"/>
      <selection pane="bottomLeft" activeCell="A5" sqref="A5"/>
      <selection pane="bottomRight" activeCell="AI7" sqref="AI7"/>
    </sheetView>
  </sheetViews>
  <sheetFormatPr baseColWidth="10" defaultColWidth="9.1796875" defaultRowHeight="12.5" x14ac:dyDescent="0.25"/>
  <cols>
    <col min="1" max="1" width="41.54296875" style="20" customWidth="1"/>
    <col min="2" max="15" width="11.453125" style="20" customWidth="1"/>
    <col min="16" max="16" width="11.453125" style="60" customWidth="1"/>
    <col min="17" max="33" width="11.453125" style="20" customWidth="1"/>
    <col min="34" max="34" width="14.81640625" style="20" customWidth="1"/>
    <col min="35" max="35" width="15.453125" style="20" customWidth="1"/>
    <col min="36" max="36" width="11.81640625" style="20" customWidth="1"/>
    <col min="37" max="37" width="12.453125" style="20" customWidth="1"/>
    <col min="38" max="38" width="10.453125" style="20" customWidth="1"/>
    <col min="39" max="16384" width="9.1796875" style="20"/>
  </cols>
  <sheetData>
    <row r="1" spans="1:38" ht="18" x14ac:dyDescent="0.45">
      <c r="A1" s="59" t="s">
        <v>26</v>
      </c>
    </row>
    <row r="2" spans="1:38" ht="15" x14ac:dyDescent="0.3">
      <c r="A2" s="61"/>
      <c r="C2" s="114"/>
      <c r="D2" s="115"/>
      <c r="AH2" s="62"/>
      <c r="AI2" s="62"/>
    </row>
    <row r="3" spans="1:38" ht="13.5" thickBot="1" x14ac:dyDescent="0.3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63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I3" s="62"/>
      <c r="AJ3" s="64"/>
    </row>
    <row r="4" spans="1:38" ht="15.5" thickBot="1" x14ac:dyDescent="0.35">
      <c r="A4" s="8"/>
      <c r="B4" s="117" t="s">
        <v>50</v>
      </c>
      <c r="C4" s="118" t="s">
        <v>51</v>
      </c>
      <c r="D4" s="118" t="s">
        <v>52</v>
      </c>
      <c r="E4" s="118" t="s">
        <v>53</v>
      </c>
      <c r="F4" s="118" t="s">
        <v>54</v>
      </c>
      <c r="G4" s="118" t="s">
        <v>55</v>
      </c>
      <c r="H4" s="118" t="s">
        <v>56</v>
      </c>
      <c r="I4" s="118" t="s">
        <v>57</v>
      </c>
      <c r="J4" s="118" t="s">
        <v>58</v>
      </c>
      <c r="K4" s="118" t="s">
        <v>59</v>
      </c>
      <c r="L4" s="118" t="s">
        <v>60</v>
      </c>
      <c r="M4" s="118" t="s">
        <v>61</v>
      </c>
      <c r="N4" s="118" t="s">
        <v>62</v>
      </c>
      <c r="O4" s="118" t="s">
        <v>63</v>
      </c>
      <c r="P4" s="118" t="s">
        <v>64</v>
      </c>
      <c r="Q4" s="118" t="s">
        <v>65</v>
      </c>
      <c r="R4" s="118" t="s">
        <v>66</v>
      </c>
      <c r="S4" s="118" t="s">
        <v>67</v>
      </c>
      <c r="T4" s="118" t="s">
        <v>68</v>
      </c>
      <c r="U4" s="118" t="s">
        <v>69</v>
      </c>
      <c r="V4" s="118" t="s">
        <v>70</v>
      </c>
      <c r="W4" s="118" t="s">
        <v>71</v>
      </c>
      <c r="X4" s="118" t="s">
        <v>72</v>
      </c>
      <c r="Y4" s="118" t="s">
        <v>73</v>
      </c>
      <c r="Z4" s="118" t="s">
        <v>74</v>
      </c>
      <c r="AA4" s="118" t="s">
        <v>75</v>
      </c>
      <c r="AB4" s="118" t="s">
        <v>76</v>
      </c>
      <c r="AC4" s="118" t="s">
        <v>77</v>
      </c>
      <c r="AD4" s="118" t="s">
        <v>78</v>
      </c>
      <c r="AE4" s="118" t="s">
        <v>79</v>
      </c>
      <c r="AF4" s="118" t="s">
        <v>80</v>
      </c>
      <c r="AG4" s="119" t="s">
        <v>114</v>
      </c>
    </row>
    <row r="5" spans="1:38" x14ac:dyDescent="0.25">
      <c r="A5" s="65" t="s">
        <v>0</v>
      </c>
      <c r="B5" s="186" t="s">
        <v>3</v>
      </c>
      <c r="C5" s="186" t="s">
        <v>3</v>
      </c>
      <c r="D5" s="186" t="s">
        <v>3</v>
      </c>
      <c r="E5" s="186" t="s">
        <v>3</v>
      </c>
      <c r="F5" s="186" t="s">
        <v>3</v>
      </c>
      <c r="G5" s="186" t="s">
        <v>3</v>
      </c>
      <c r="H5" s="186" t="s">
        <v>3</v>
      </c>
      <c r="I5" s="186" t="s">
        <v>3</v>
      </c>
      <c r="J5" s="186" t="s">
        <v>3</v>
      </c>
      <c r="K5" s="186" t="s">
        <v>3</v>
      </c>
      <c r="L5" s="186" t="s">
        <v>3</v>
      </c>
      <c r="M5" s="186" t="s">
        <v>3</v>
      </c>
      <c r="N5" s="186" t="s">
        <v>3</v>
      </c>
      <c r="O5" s="186" t="s">
        <v>3</v>
      </c>
      <c r="P5" s="186" t="s">
        <v>3</v>
      </c>
      <c r="Q5" s="186" t="s">
        <v>3</v>
      </c>
      <c r="R5" s="186" t="s">
        <v>3</v>
      </c>
      <c r="S5" s="186" t="s">
        <v>3</v>
      </c>
      <c r="T5" s="186" t="s">
        <v>3</v>
      </c>
      <c r="U5" s="186" t="s">
        <v>3</v>
      </c>
      <c r="V5" s="186" t="s">
        <v>3</v>
      </c>
      <c r="W5" s="186" t="s">
        <v>3</v>
      </c>
      <c r="X5" s="186" t="s">
        <v>3</v>
      </c>
      <c r="Y5" s="186" t="s">
        <v>3</v>
      </c>
      <c r="Z5" s="186" t="s">
        <v>3</v>
      </c>
      <c r="AA5" s="186" t="s">
        <v>3</v>
      </c>
      <c r="AB5" s="186" t="s">
        <v>3</v>
      </c>
      <c r="AC5" s="186" t="s">
        <v>3</v>
      </c>
      <c r="AD5" s="186" t="s">
        <v>3</v>
      </c>
      <c r="AE5" s="186" t="s">
        <v>3</v>
      </c>
      <c r="AF5" s="186" t="s">
        <v>3</v>
      </c>
      <c r="AG5" s="194" t="s">
        <v>3</v>
      </c>
      <c r="AH5" s="188" t="s">
        <v>108</v>
      </c>
      <c r="AI5" s="190" t="s">
        <v>109</v>
      </c>
      <c r="AJ5" s="190" t="s">
        <v>110</v>
      </c>
      <c r="AK5" s="192" t="s">
        <v>111</v>
      </c>
    </row>
    <row r="6" spans="1:38" ht="13" thickBot="1" x14ac:dyDescent="0.3">
      <c r="A6" s="66" t="s">
        <v>4</v>
      </c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95"/>
      <c r="AH6" s="189"/>
      <c r="AI6" s="191"/>
      <c r="AJ6" s="191"/>
      <c r="AK6" s="193"/>
    </row>
    <row r="7" spans="1:38" ht="30" customHeight="1" thickTop="1" thickBot="1" x14ac:dyDescent="0.35">
      <c r="A7" s="113" t="s">
        <v>116</v>
      </c>
      <c r="B7" s="67">
        <f>B8+B18+B27+B37+B47+B53</f>
        <v>38941.705910774435</v>
      </c>
      <c r="C7" s="67">
        <f t="shared" ref="C7:AG7" si="0">C8+C18+C27+C37+C47+C53</f>
        <v>39823.804209428199</v>
      </c>
      <c r="D7" s="67">
        <f t="shared" si="0"/>
        <v>41294.984156591825</v>
      </c>
      <c r="E7" s="67">
        <f t="shared" si="0"/>
        <v>39916.380116996334</v>
      </c>
      <c r="F7" s="67">
        <f t="shared" si="0"/>
        <v>43654.367424947093</v>
      </c>
      <c r="G7" s="67">
        <f t="shared" si="0"/>
        <v>49215.780310015965</v>
      </c>
      <c r="H7" s="67">
        <f t="shared" si="0"/>
        <v>48147.189610261652</v>
      </c>
      <c r="I7" s="67">
        <f t="shared" si="0"/>
        <v>47990.247779997764</v>
      </c>
      <c r="J7" s="67">
        <f t="shared" si="0"/>
        <v>48347.596608922307</v>
      </c>
      <c r="K7" s="67">
        <f t="shared" si="0"/>
        <v>51022.74634591295</v>
      </c>
      <c r="L7" s="67">
        <f t="shared" si="0"/>
        <v>52534.892235933694</v>
      </c>
      <c r="M7" s="67">
        <f t="shared" si="0"/>
        <v>50841.05620888737</v>
      </c>
      <c r="N7" s="67">
        <f t="shared" si="0"/>
        <v>50117.569456131561</v>
      </c>
      <c r="O7" s="67">
        <f t="shared" si="0"/>
        <v>53305.516667315052</v>
      </c>
      <c r="P7" s="67">
        <f t="shared" si="0"/>
        <v>54940.893771346651</v>
      </c>
      <c r="Q7" s="67">
        <f t="shared" si="0"/>
        <v>56867.057301914239</v>
      </c>
      <c r="R7" s="67">
        <f t="shared" si="0"/>
        <v>56034.931554366056</v>
      </c>
      <c r="S7" s="67">
        <f t="shared" si="0"/>
        <v>57110.234565003877</v>
      </c>
      <c r="T7" s="67">
        <f t="shared" si="0"/>
        <v>53526.811490282947</v>
      </c>
      <c r="U7" s="67">
        <f t="shared" si="0"/>
        <v>50000.532712361142</v>
      </c>
      <c r="V7" s="67">
        <f t="shared" si="0"/>
        <v>49071.266677002226</v>
      </c>
      <c r="W7" s="67">
        <f t="shared" si="0"/>
        <v>46701.019499813105</v>
      </c>
      <c r="X7" s="67">
        <f t="shared" si="0"/>
        <v>43935.388381521458</v>
      </c>
      <c r="Y7" s="67">
        <f t="shared" si="0"/>
        <v>40852.115693333115</v>
      </c>
      <c r="Z7" s="67">
        <f t="shared" si="0"/>
        <v>40954.211550098327</v>
      </c>
      <c r="AA7" s="67">
        <f t="shared" si="0"/>
        <v>41770.714515210544</v>
      </c>
      <c r="AB7" s="67">
        <f t="shared" si="0"/>
        <v>43024.107433434547</v>
      </c>
      <c r="AC7" s="67">
        <f t="shared" si="0"/>
        <v>43747.847828081343</v>
      </c>
      <c r="AD7" s="67">
        <f t="shared" si="0"/>
        <v>43503.475869145906</v>
      </c>
      <c r="AE7" s="67">
        <f t="shared" si="0"/>
        <v>43554.018017077789</v>
      </c>
      <c r="AF7" s="67">
        <f t="shared" si="0"/>
        <v>39836.769314456418</v>
      </c>
      <c r="AG7" s="67">
        <f t="shared" si="0"/>
        <v>40396.206522983572</v>
      </c>
      <c r="AH7" s="120">
        <v>1.4043237394859132E-2</v>
      </c>
      <c r="AI7" s="121">
        <v>0.5594372085271534</v>
      </c>
      <c r="AJ7" s="122">
        <v>3.7350716364141334E-2</v>
      </c>
      <c r="AK7" s="123">
        <v>-0.28963782478641154</v>
      </c>
    </row>
    <row r="8" spans="1:38" ht="13" thickTop="1" x14ac:dyDescent="0.25">
      <c r="A8" s="14" t="s">
        <v>5</v>
      </c>
      <c r="B8" s="25">
        <v>25926.769444486756</v>
      </c>
      <c r="C8" s="25">
        <v>27249.762094044698</v>
      </c>
      <c r="D8" s="25">
        <v>28177.943003341894</v>
      </c>
      <c r="E8" s="25">
        <v>26994.06852125327</v>
      </c>
      <c r="F8" s="25">
        <v>29133.036788630568</v>
      </c>
      <c r="G8" s="25">
        <v>33208.336988042516</v>
      </c>
      <c r="H8" s="25">
        <v>31406.140668040549</v>
      </c>
      <c r="I8" s="25">
        <v>30753.522558584125</v>
      </c>
      <c r="J8" s="25">
        <v>31031.293511566888</v>
      </c>
      <c r="K8" s="25">
        <v>31969.463343665197</v>
      </c>
      <c r="L8" s="25">
        <v>32480.892578669635</v>
      </c>
      <c r="M8" s="25">
        <v>33470.384808623188</v>
      </c>
      <c r="N8" s="25">
        <v>34790.203483658486</v>
      </c>
      <c r="O8" s="25">
        <v>36792.766961115769</v>
      </c>
      <c r="P8" s="25">
        <v>38988.200057704766</v>
      </c>
      <c r="Q8" s="25">
        <v>41060.929265412262</v>
      </c>
      <c r="R8" s="25">
        <v>40102.646726140731</v>
      </c>
      <c r="S8" s="25">
        <v>40420.295016936645</v>
      </c>
      <c r="T8" s="25">
        <v>38665.120578171729</v>
      </c>
      <c r="U8" s="25">
        <v>35479.138619920668</v>
      </c>
      <c r="V8" s="25">
        <v>34840.292423973973</v>
      </c>
      <c r="W8" s="25">
        <v>32767.189222557667</v>
      </c>
      <c r="X8" s="25">
        <v>30220.217327048744</v>
      </c>
      <c r="Y8" s="68">
        <v>28440.896617912367</v>
      </c>
      <c r="Z8" s="68">
        <v>27603.858563569003</v>
      </c>
      <c r="AA8" s="68">
        <v>29086.533944641797</v>
      </c>
      <c r="AB8" s="68">
        <v>30260.17811155337</v>
      </c>
      <c r="AC8" s="68">
        <v>31307.809840809809</v>
      </c>
      <c r="AD8" s="68">
        <v>31531.907095893665</v>
      </c>
      <c r="AE8" s="68">
        <v>31671.166565554151</v>
      </c>
      <c r="AF8" s="68">
        <v>28300.125757962036</v>
      </c>
      <c r="AG8" s="68">
        <v>28909.518442537643</v>
      </c>
      <c r="AH8" s="69">
        <v>2.1533214720933058E-2</v>
      </c>
      <c r="AI8" s="70">
        <v>0.6093926845756068</v>
      </c>
      <c r="AJ8" s="116">
        <v>0.11504514684860445</v>
      </c>
      <c r="AK8" s="71">
        <v>-0.29593608913060765</v>
      </c>
      <c r="AL8" s="62"/>
    </row>
    <row r="9" spans="1:38" x14ac:dyDescent="0.25">
      <c r="A9" s="15" t="s">
        <v>6</v>
      </c>
      <c r="B9" s="29">
        <v>25747.074170713408</v>
      </c>
      <c r="C9" s="29">
        <v>27050.954140429196</v>
      </c>
      <c r="D9" s="29">
        <v>27978.641782658193</v>
      </c>
      <c r="E9" s="29">
        <v>26799.759714719097</v>
      </c>
      <c r="F9" s="29">
        <v>28924.575003149152</v>
      </c>
      <c r="G9" s="29">
        <v>33012.059034980615</v>
      </c>
      <c r="H9" s="29">
        <v>31249.223170897523</v>
      </c>
      <c r="I9" s="29">
        <v>30602.50748348458</v>
      </c>
      <c r="J9" s="29">
        <v>30858.008039201752</v>
      </c>
      <c r="K9" s="29">
        <v>31809.681921332322</v>
      </c>
      <c r="L9" s="29">
        <v>32331.690219565306</v>
      </c>
      <c r="M9" s="29">
        <v>33319.602419524555</v>
      </c>
      <c r="N9" s="29">
        <v>34627.626399054672</v>
      </c>
      <c r="O9" s="29">
        <v>36649.824787032288</v>
      </c>
      <c r="P9" s="29">
        <v>38842.584655990438</v>
      </c>
      <c r="Q9" s="29">
        <v>40897.901291119801</v>
      </c>
      <c r="R9" s="29">
        <v>39926.488295405121</v>
      </c>
      <c r="S9" s="29">
        <v>40237.097582561633</v>
      </c>
      <c r="T9" s="29">
        <v>38455.554950302329</v>
      </c>
      <c r="U9" s="29">
        <v>35248.028035820425</v>
      </c>
      <c r="V9" s="29">
        <v>34709.331172877195</v>
      </c>
      <c r="W9" s="29">
        <v>32580.651845272885</v>
      </c>
      <c r="X9" s="29">
        <v>30121.286851057757</v>
      </c>
      <c r="Y9" s="72">
        <v>28300.451712284928</v>
      </c>
      <c r="Z9" s="72">
        <v>27477.683308121163</v>
      </c>
      <c r="AA9" s="72">
        <v>29004.390972922283</v>
      </c>
      <c r="AB9" s="72">
        <v>30155.936530910287</v>
      </c>
      <c r="AC9" s="72">
        <v>31235.272444145248</v>
      </c>
      <c r="AD9" s="72">
        <v>31415.804861938719</v>
      </c>
      <c r="AE9" s="72">
        <v>31554.730189642669</v>
      </c>
      <c r="AF9" s="72">
        <v>28197.968352944958</v>
      </c>
      <c r="AG9" s="72">
        <v>28834.851758133136</v>
      </c>
      <c r="AH9" s="69">
        <v>2.2586145115722989E-2</v>
      </c>
      <c r="AI9" s="70">
        <v>0.63688340518817854</v>
      </c>
      <c r="AJ9" s="116">
        <v>0.11992731938963352</v>
      </c>
      <c r="AK9" s="71">
        <v>-0.29495522147015218</v>
      </c>
    </row>
    <row r="10" spans="1:38" x14ac:dyDescent="0.25">
      <c r="A10" s="32" t="s">
        <v>7</v>
      </c>
      <c r="B10" s="33">
        <v>3968.2508854645062</v>
      </c>
      <c r="C10" s="33">
        <v>3775.2145417626721</v>
      </c>
      <c r="D10" s="33">
        <v>3711.4562209669953</v>
      </c>
      <c r="E10" s="33">
        <v>2826.2283038373339</v>
      </c>
      <c r="F10" s="33">
        <v>2911.529446878857</v>
      </c>
      <c r="G10" s="33">
        <v>3303.310828398889</v>
      </c>
      <c r="H10" s="33">
        <v>3556.3311733259866</v>
      </c>
      <c r="I10" s="33">
        <v>3931.5784722002536</v>
      </c>
      <c r="J10" s="33">
        <v>3614.0153160199789</v>
      </c>
      <c r="K10" s="33">
        <v>4110.5269750928474</v>
      </c>
      <c r="L10" s="33">
        <v>4088.3070562079738</v>
      </c>
      <c r="M10" s="33">
        <v>4089.6126961698542</v>
      </c>
      <c r="N10" s="33">
        <v>5362.2205904691809</v>
      </c>
      <c r="O10" s="33">
        <v>5411.3416419959758</v>
      </c>
      <c r="P10" s="33">
        <v>7424.0926191042936</v>
      </c>
      <c r="Q10" s="33">
        <v>8639.1840730663735</v>
      </c>
      <c r="R10" s="33">
        <v>8258.6655975042577</v>
      </c>
      <c r="S10" s="33">
        <v>8349.4140550165885</v>
      </c>
      <c r="T10" s="33">
        <v>8174.358334396381</v>
      </c>
      <c r="U10" s="33">
        <v>7168.2436400138304</v>
      </c>
      <c r="V10" s="33">
        <v>6515.1384896120662</v>
      </c>
      <c r="W10" s="33">
        <v>6384.3125933632591</v>
      </c>
      <c r="X10" s="33">
        <v>5808.6642945492604</v>
      </c>
      <c r="Y10" s="73">
        <v>4637.6405866693312</v>
      </c>
      <c r="Z10" s="73">
        <v>4384.9113415597003</v>
      </c>
      <c r="AA10" s="73">
        <v>5076.1797154246078</v>
      </c>
      <c r="AB10" s="73">
        <v>5126.1736312251833</v>
      </c>
      <c r="AC10" s="73">
        <v>5469.0675224737179</v>
      </c>
      <c r="AD10" s="73">
        <v>5015.6154479806237</v>
      </c>
      <c r="AE10" s="73">
        <v>5726.9470779168405</v>
      </c>
      <c r="AF10" s="73">
        <v>4152.1044893130011</v>
      </c>
      <c r="AG10" s="73">
        <v>4213.6344081285115</v>
      </c>
      <c r="AH10" s="69">
        <v>1.4818971674215087E-2</v>
      </c>
      <c r="AI10" s="70">
        <v>6.1529918815510426E-2</v>
      </c>
      <c r="AJ10" s="116">
        <v>6.1836695749966974E-2</v>
      </c>
      <c r="AK10" s="71">
        <v>-0.51226477263460679</v>
      </c>
    </row>
    <row r="11" spans="1:38" x14ac:dyDescent="0.25">
      <c r="A11" s="32" t="s">
        <v>8</v>
      </c>
      <c r="B11" s="33">
        <v>7633.1252204191669</v>
      </c>
      <c r="C11" s="33">
        <v>8020.8217303170413</v>
      </c>
      <c r="D11" s="33">
        <v>7900.6545480553259</v>
      </c>
      <c r="E11" s="33">
        <v>8091.6615411835728</v>
      </c>
      <c r="F11" s="33">
        <v>9460.134165666861</v>
      </c>
      <c r="G11" s="33">
        <v>12132.770836216576</v>
      </c>
      <c r="H11" s="33">
        <v>10543.019323602373</v>
      </c>
      <c r="I11" s="33">
        <v>9777.2794120985254</v>
      </c>
      <c r="J11" s="33">
        <v>9785.7678717029394</v>
      </c>
      <c r="K11" s="33">
        <v>10077.770158735324</v>
      </c>
      <c r="L11" s="33">
        <v>9887.7878563567792</v>
      </c>
      <c r="M11" s="33">
        <v>10100.354528830536</v>
      </c>
      <c r="N11" s="33">
        <v>10376.515921162756</v>
      </c>
      <c r="O11" s="33">
        <v>11436.55531773383</v>
      </c>
      <c r="P11" s="33">
        <v>11058.8251048289</v>
      </c>
      <c r="Q11" s="33">
        <v>11287.91489743614</v>
      </c>
      <c r="R11" s="33">
        <v>8992.4159163035238</v>
      </c>
      <c r="S11" s="33">
        <v>9154.985701311065</v>
      </c>
      <c r="T11" s="33">
        <v>8692.7769672934683</v>
      </c>
      <c r="U11" s="33">
        <v>7252.5009567520265</v>
      </c>
      <c r="V11" s="33">
        <v>7502.4480268385487</v>
      </c>
      <c r="W11" s="33">
        <v>6984.7292591120367</v>
      </c>
      <c r="X11" s="33">
        <v>6821.4101367754174</v>
      </c>
      <c r="Y11" s="73">
        <v>6403.6156545247786</v>
      </c>
      <c r="Z11" s="73">
        <v>6074.5282365640578</v>
      </c>
      <c r="AA11" s="73">
        <v>6688.8330517060167</v>
      </c>
      <c r="AB11" s="73">
        <v>7197.3749611662433</v>
      </c>
      <c r="AC11" s="73">
        <v>7488.471152860182</v>
      </c>
      <c r="AD11" s="73">
        <v>7775.87687936371</v>
      </c>
      <c r="AE11" s="73">
        <v>7556.284492650525</v>
      </c>
      <c r="AF11" s="73">
        <v>7274.4756910902051</v>
      </c>
      <c r="AG11" s="73">
        <v>7394.3066434892362</v>
      </c>
      <c r="AH11" s="69">
        <v>1.6472795770807291E-2</v>
      </c>
      <c r="AI11" s="70">
        <v>0.11983095239903105</v>
      </c>
      <c r="AJ11" s="116">
        <v>-3.1287129456631146E-2</v>
      </c>
      <c r="AK11" s="71">
        <v>-0.34493600362200383</v>
      </c>
    </row>
    <row r="12" spans="1:38" x14ac:dyDescent="0.25">
      <c r="A12" s="32" t="s">
        <v>9</v>
      </c>
      <c r="B12" s="33">
        <v>10687.137725861734</v>
      </c>
      <c r="C12" s="74">
        <v>11122.874617518481</v>
      </c>
      <c r="D12" s="33">
        <v>11987.890767733867</v>
      </c>
      <c r="E12" s="33">
        <v>11413.007408204188</v>
      </c>
      <c r="F12" s="33">
        <v>12421.984246250429</v>
      </c>
      <c r="G12" s="33">
        <v>12499.248750851151</v>
      </c>
      <c r="H12" s="33">
        <v>12527.608323309163</v>
      </c>
      <c r="I12" s="33">
        <v>12336.365857511802</v>
      </c>
      <c r="J12" s="33">
        <v>13136.787308431833</v>
      </c>
      <c r="K12" s="33">
        <v>13212.337197724151</v>
      </c>
      <c r="L12" s="33">
        <v>13494.38195720855</v>
      </c>
      <c r="M12" s="33">
        <v>13997.418751024165</v>
      </c>
      <c r="N12" s="33">
        <v>13790.809347488739</v>
      </c>
      <c r="O12" s="33">
        <v>14484.196911853489</v>
      </c>
      <c r="P12" s="33">
        <v>14904.008402795243</v>
      </c>
      <c r="Q12" s="33">
        <v>15151.033964648293</v>
      </c>
      <c r="R12" s="33">
        <v>16071.80758468434</v>
      </c>
      <c r="S12" s="33">
        <v>16580.427166708978</v>
      </c>
      <c r="T12" s="33">
        <v>15392.943329968472</v>
      </c>
      <c r="U12" s="33">
        <v>14479.173808975567</v>
      </c>
      <c r="V12" s="33">
        <v>13666.664869231578</v>
      </c>
      <c r="W12" s="33">
        <v>13182.15633256959</v>
      </c>
      <c r="X12" s="33">
        <v>11632.889889763079</v>
      </c>
      <c r="Y12" s="73">
        <v>11978.993806869817</v>
      </c>
      <c r="Z12" s="73">
        <v>12026.708177479404</v>
      </c>
      <c r="AA12" s="73">
        <v>12309.126604265659</v>
      </c>
      <c r="AB12" s="73">
        <v>12851.961166176861</v>
      </c>
      <c r="AC12" s="73">
        <v>13245.193864224351</v>
      </c>
      <c r="AD12" s="73">
        <v>13309.259891364385</v>
      </c>
      <c r="AE12" s="73">
        <v>13163.663774647301</v>
      </c>
      <c r="AF12" s="73">
        <v>11698.086455641749</v>
      </c>
      <c r="AG12" s="73">
        <v>12010.459668821388</v>
      </c>
      <c r="AH12" s="69">
        <v>2.6702932515000111E-2</v>
      </c>
      <c r="AI12" s="70">
        <v>0.31237321317963868</v>
      </c>
      <c r="AJ12" s="116">
        <v>0.12382379425665646</v>
      </c>
      <c r="AK12" s="71">
        <v>-0.20728448653436893</v>
      </c>
    </row>
    <row r="13" spans="1:38" x14ac:dyDescent="0.25">
      <c r="A13" s="32" t="s">
        <v>10</v>
      </c>
      <c r="B13" s="33">
        <v>3416.675028918</v>
      </c>
      <c r="C13" s="74">
        <v>4089.8990194749999</v>
      </c>
      <c r="D13" s="33">
        <v>4333.3844382120005</v>
      </c>
      <c r="E13" s="33">
        <v>4428.0749980300006</v>
      </c>
      <c r="F13" s="33">
        <v>4090.3064917670004</v>
      </c>
      <c r="G13" s="33">
        <v>5030.1470732700009</v>
      </c>
      <c r="H13" s="33">
        <v>4573.1310874400006</v>
      </c>
      <c r="I13" s="33">
        <v>4505.5812615180002</v>
      </c>
      <c r="J13" s="33">
        <v>4269.0100460759995</v>
      </c>
      <c r="K13" s="33">
        <v>4353.2509058690002</v>
      </c>
      <c r="L13" s="33">
        <v>4804.4611909579999</v>
      </c>
      <c r="M13" s="33">
        <v>5073.3733954420004</v>
      </c>
      <c r="N13" s="33">
        <v>5041.0720686050008</v>
      </c>
      <c r="O13" s="33">
        <v>5257.5097714599988</v>
      </c>
      <c r="P13" s="33">
        <v>5388.8728939900002</v>
      </c>
      <c r="Q13" s="33">
        <v>5748.6983072060011</v>
      </c>
      <c r="R13" s="33">
        <v>6531.5123327210003</v>
      </c>
      <c r="S13" s="33">
        <v>6078.4647056050007</v>
      </c>
      <c r="T13" s="33">
        <v>6120.0559208539999</v>
      </c>
      <c r="U13" s="33">
        <v>6283.5551782739994</v>
      </c>
      <c r="V13" s="33">
        <v>6954.7101612639999</v>
      </c>
      <c r="W13" s="33">
        <v>5962.2375798980001</v>
      </c>
      <c r="X13" s="33">
        <v>5801.4215053079997</v>
      </c>
      <c r="Y13" s="73">
        <v>5236.6505438450004</v>
      </c>
      <c r="Z13" s="73">
        <v>4941.9578474810005</v>
      </c>
      <c r="AA13" s="73">
        <v>4877.7802632479998</v>
      </c>
      <c r="AB13" s="73">
        <v>4923.3441422000005</v>
      </c>
      <c r="AC13" s="73">
        <v>4974.4695366970009</v>
      </c>
      <c r="AD13" s="73">
        <v>5264.1477736660017</v>
      </c>
      <c r="AE13" s="73">
        <v>5059.2026355039998</v>
      </c>
      <c r="AF13" s="73">
        <v>5026.6533586380001</v>
      </c>
      <c r="AG13" s="73">
        <v>5165.8516348129997</v>
      </c>
      <c r="AH13" s="69">
        <v>2.7692038070577407E-2</v>
      </c>
      <c r="AI13" s="70">
        <v>0.13919827617499958</v>
      </c>
      <c r="AJ13" s="116">
        <v>0.51195287555601476</v>
      </c>
      <c r="AK13" s="71">
        <v>-0.10138759093730876</v>
      </c>
    </row>
    <row r="14" spans="1:38" x14ac:dyDescent="0.25">
      <c r="A14" s="32" t="s">
        <v>11</v>
      </c>
      <c r="B14" s="33">
        <v>41.885310050000001</v>
      </c>
      <c r="C14" s="74">
        <v>42.144231355999999</v>
      </c>
      <c r="D14" s="33">
        <v>45.255807690000005</v>
      </c>
      <c r="E14" s="33">
        <v>40.787463463999998</v>
      </c>
      <c r="F14" s="33">
        <v>40.620652585999999</v>
      </c>
      <c r="G14" s="33">
        <v>46.581546244000009</v>
      </c>
      <c r="H14" s="33">
        <v>49.133263219999996</v>
      </c>
      <c r="I14" s="33">
        <v>51.702480156</v>
      </c>
      <c r="J14" s="33">
        <v>52.427496970999997</v>
      </c>
      <c r="K14" s="33">
        <v>55.796683911000002</v>
      </c>
      <c r="L14" s="33">
        <v>56.752158834000006</v>
      </c>
      <c r="M14" s="33">
        <v>58.843048057999994</v>
      </c>
      <c r="N14" s="33">
        <v>57.008471328999995</v>
      </c>
      <c r="O14" s="33">
        <v>60.221143988999998</v>
      </c>
      <c r="P14" s="33">
        <v>66.785635272000007</v>
      </c>
      <c r="Q14" s="33">
        <v>71.070048763000017</v>
      </c>
      <c r="R14" s="33">
        <v>72.086864192000007</v>
      </c>
      <c r="S14" s="33">
        <v>73.805953920000007</v>
      </c>
      <c r="T14" s="33">
        <v>75.42039779000001</v>
      </c>
      <c r="U14" s="33">
        <v>64.554451804999999</v>
      </c>
      <c r="V14" s="33">
        <v>70.369625930999987</v>
      </c>
      <c r="W14" s="33">
        <v>67.216080329999997</v>
      </c>
      <c r="X14" s="33">
        <v>56.901024662000005</v>
      </c>
      <c r="Y14" s="73">
        <v>43.551120376</v>
      </c>
      <c r="Z14" s="73">
        <v>49.577705037000008</v>
      </c>
      <c r="AA14" s="73">
        <v>52.471338277999998</v>
      </c>
      <c r="AB14" s="73">
        <v>57.082630141999992</v>
      </c>
      <c r="AC14" s="73">
        <v>58.07036789</v>
      </c>
      <c r="AD14" s="73">
        <v>50.904869563999995</v>
      </c>
      <c r="AE14" s="73">
        <v>48.632208923999997</v>
      </c>
      <c r="AF14" s="73">
        <v>46.648358261999995</v>
      </c>
      <c r="AG14" s="73">
        <v>50.599402880999989</v>
      </c>
      <c r="AH14" s="69">
        <v>8.4698470990318464E-2</v>
      </c>
      <c r="AI14" s="70">
        <v>3.9510446189999935E-3</v>
      </c>
      <c r="AJ14" s="116">
        <v>0.20804651608398417</v>
      </c>
      <c r="AK14" s="71">
        <v>-0.28803478030899154</v>
      </c>
    </row>
    <row r="15" spans="1:38" x14ac:dyDescent="0.25">
      <c r="A15" s="15" t="s">
        <v>12</v>
      </c>
      <c r="B15" s="33">
        <v>179.69527377334853</v>
      </c>
      <c r="C15" s="74">
        <v>198.80795361550187</v>
      </c>
      <c r="D15" s="33">
        <v>199.30122068370335</v>
      </c>
      <c r="E15" s="33">
        <v>194.30880653417464</v>
      </c>
      <c r="F15" s="33">
        <v>208.46178548142026</v>
      </c>
      <c r="G15" s="33">
        <v>196.2779530618977</v>
      </c>
      <c r="H15" s="33">
        <v>156.91749714302605</v>
      </c>
      <c r="I15" s="33">
        <v>151.01507509954774</v>
      </c>
      <c r="J15" s="33">
        <v>173.28547236513734</v>
      </c>
      <c r="K15" s="33">
        <v>159.78142233287252</v>
      </c>
      <c r="L15" s="33">
        <v>149.20235910432538</v>
      </c>
      <c r="M15" s="33">
        <v>150.78238909863725</v>
      </c>
      <c r="N15" s="33">
        <v>162.57708460381451</v>
      </c>
      <c r="O15" s="33">
        <v>142.94217408347563</v>
      </c>
      <c r="P15" s="33">
        <v>145.61540171432401</v>
      </c>
      <c r="Q15" s="33">
        <v>163.02797429245081</v>
      </c>
      <c r="R15" s="33">
        <v>176.15843073560475</v>
      </c>
      <c r="S15" s="33">
        <v>183.19743437500719</v>
      </c>
      <c r="T15" s="33">
        <v>209.5656278694027</v>
      </c>
      <c r="U15" s="33">
        <v>231.11058410024938</v>
      </c>
      <c r="V15" s="33">
        <v>130.96125109678221</v>
      </c>
      <c r="W15" s="33">
        <v>186.53737728478166</v>
      </c>
      <c r="X15" s="33">
        <v>98.930475990984363</v>
      </c>
      <c r="Y15" s="73">
        <v>140.44490562743883</v>
      </c>
      <c r="Z15" s="73">
        <v>126.1752554478433</v>
      </c>
      <c r="AA15" s="73">
        <v>82.142971719514222</v>
      </c>
      <c r="AB15" s="73">
        <v>104.24158064308743</v>
      </c>
      <c r="AC15" s="73">
        <v>72.537396664562209</v>
      </c>
      <c r="AD15" s="73">
        <v>116.1022339549459</v>
      </c>
      <c r="AE15" s="73">
        <v>116.4363759114825</v>
      </c>
      <c r="AF15" s="73">
        <v>102.15740501707823</v>
      </c>
      <c r="AG15" s="73">
        <v>74.666684404509326</v>
      </c>
      <c r="AH15" s="69">
        <v>-0.26910159481804696</v>
      </c>
      <c r="AI15" s="70">
        <v>-2.7490720612568909E-2</v>
      </c>
      <c r="AJ15" s="116">
        <v>-0.58448164586294471</v>
      </c>
      <c r="AK15" s="71">
        <v>-0.54200078404601237</v>
      </c>
    </row>
    <row r="16" spans="1:38" x14ac:dyDescent="0.25">
      <c r="A16" s="32" t="s">
        <v>13</v>
      </c>
      <c r="B16" s="33">
        <v>39.873404479999998</v>
      </c>
      <c r="C16" s="74">
        <v>32.300564659999999</v>
      </c>
      <c r="D16" s="33">
        <v>26.906670699999999</v>
      </c>
      <c r="E16" s="33">
        <v>28.89709732</v>
      </c>
      <c r="F16" s="33">
        <v>35.145546799999998</v>
      </c>
      <c r="G16" s="33">
        <v>36.783932640000003</v>
      </c>
      <c r="H16" s="33">
        <v>41.84602786</v>
      </c>
      <c r="I16" s="33">
        <v>42.731921960000001</v>
      </c>
      <c r="J16" s="33">
        <v>35.966934639999998</v>
      </c>
      <c r="K16" s="33">
        <v>42.306107480000001</v>
      </c>
      <c r="L16" s="33">
        <v>38.774115379999998</v>
      </c>
      <c r="M16" s="33">
        <v>36.938308679999999</v>
      </c>
      <c r="N16" s="33">
        <v>28.696506020000001</v>
      </c>
      <c r="O16" s="33">
        <v>24.021326420000001</v>
      </c>
      <c r="P16" s="33">
        <v>31.30358322</v>
      </c>
      <c r="Q16" s="33">
        <v>26.600601300000001</v>
      </c>
      <c r="R16" s="33">
        <v>27.207618620000002</v>
      </c>
      <c r="S16" s="33">
        <v>18.109309400000001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73">
        <v>0</v>
      </c>
      <c r="Z16" s="73">
        <v>0</v>
      </c>
      <c r="AA16" s="73">
        <v>0</v>
      </c>
      <c r="AB16" s="73">
        <v>0</v>
      </c>
      <c r="AC16" s="73">
        <v>0</v>
      </c>
      <c r="AD16" s="73">
        <v>0</v>
      </c>
      <c r="AE16" s="73">
        <v>0</v>
      </c>
      <c r="AF16" s="73">
        <v>0</v>
      </c>
      <c r="AG16" s="73">
        <v>0</v>
      </c>
      <c r="AH16" s="69">
        <v>0</v>
      </c>
      <c r="AI16" s="70">
        <v>0</v>
      </c>
      <c r="AJ16" s="116">
        <v>-1</v>
      </c>
      <c r="AK16" s="71">
        <v>-1</v>
      </c>
    </row>
    <row r="17" spans="1:37" ht="13" thickBot="1" x14ac:dyDescent="0.3">
      <c r="A17" s="36" t="s">
        <v>14</v>
      </c>
      <c r="B17" s="37">
        <v>139.82186929334853</v>
      </c>
      <c r="C17" s="75">
        <v>166.50738895550185</v>
      </c>
      <c r="D17" s="37">
        <v>172.39454998370334</v>
      </c>
      <c r="E17" s="37">
        <v>165.41170921417464</v>
      </c>
      <c r="F17" s="37">
        <v>173.31623868142026</v>
      </c>
      <c r="G17" s="37">
        <v>159.49402042189769</v>
      </c>
      <c r="H17" s="37">
        <v>115.07146928302603</v>
      </c>
      <c r="I17" s="37">
        <v>108.28315313954774</v>
      </c>
      <c r="J17" s="37">
        <v>137.31853772513733</v>
      </c>
      <c r="K17" s="37">
        <v>117.47531485287253</v>
      </c>
      <c r="L17" s="37">
        <v>110.4282437243254</v>
      </c>
      <c r="M17" s="37">
        <v>113.84408041863725</v>
      </c>
      <c r="N17" s="37">
        <v>133.8805785838145</v>
      </c>
      <c r="O17" s="37">
        <v>118.92084766347566</v>
      </c>
      <c r="P17" s="37">
        <v>114.31181849432403</v>
      </c>
      <c r="Q17" s="37">
        <v>136.42737299245081</v>
      </c>
      <c r="R17" s="37">
        <v>148.95081211560475</v>
      </c>
      <c r="S17" s="37">
        <v>165.08812497500719</v>
      </c>
      <c r="T17" s="37">
        <v>209.5656278694027</v>
      </c>
      <c r="U17" s="37">
        <v>231.11058410024938</v>
      </c>
      <c r="V17" s="37">
        <v>130.96125109678221</v>
      </c>
      <c r="W17" s="37">
        <v>186.53737728478166</v>
      </c>
      <c r="X17" s="37">
        <v>98.930475990984363</v>
      </c>
      <c r="Y17" s="76">
        <v>140.44490562743883</v>
      </c>
      <c r="Z17" s="76">
        <v>126.1752554478433</v>
      </c>
      <c r="AA17" s="76">
        <v>82.142971719514222</v>
      </c>
      <c r="AB17" s="76">
        <v>104.24158064308743</v>
      </c>
      <c r="AC17" s="76">
        <v>72.537396664562209</v>
      </c>
      <c r="AD17" s="76">
        <v>116.1022339549459</v>
      </c>
      <c r="AE17" s="76">
        <v>116.4363759114825</v>
      </c>
      <c r="AF17" s="76">
        <v>102.15740501707823</v>
      </c>
      <c r="AG17" s="76">
        <v>74.666684404509326</v>
      </c>
      <c r="AH17" s="69">
        <v>-0.26910159481804696</v>
      </c>
      <c r="AI17" s="70">
        <v>-2.7490720612568909E-2</v>
      </c>
      <c r="AJ17" s="116">
        <v>-0.46598708212191453</v>
      </c>
      <c r="AK17" s="71">
        <v>-0.45270012339355836</v>
      </c>
    </row>
    <row r="18" spans="1:37" x14ac:dyDescent="0.25">
      <c r="A18" s="14" t="s">
        <v>15</v>
      </c>
      <c r="B18" s="40">
        <v>6308.1943165320581</v>
      </c>
      <c r="C18" s="77">
        <v>6139.6726137324795</v>
      </c>
      <c r="D18" s="40">
        <v>6637.7556274021199</v>
      </c>
      <c r="E18" s="40">
        <v>6395.577809005953</v>
      </c>
      <c r="F18" s="40">
        <v>7758.0506602103169</v>
      </c>
      <c r="G18" s="40">
        <v>8957.5228499912173</v>
      </c>
      <c r="H18" s="40">
        <v>9387.3824284191451</v>
      </c>
      <c r="I18" s="40">
        <v>9951.8791907921332</v>
      </c>
      <c r="J18" s="40">
        <v>9958.9232200826682</v>
      </c>
      <c r="K18" s="40">
        <v>11438.530986408245</v>
      </c>
      <c r="L18" s="40">
        <v>11980.143791993063</v>
      </c>
      <c r="M18" s="40">
        <v>9439.0401151891856</v>
      </c>
      <c r="N18" s="40">
        <v>7502.7482727475717</v>
      </c>
      <c r="O18" s="40">
        <v>8827.0377171952805</v>
      </c>
      <c r="P18" s="40">
        <v>8745.5311806343889</v>
      </c>
      <c r="Q18" s="40">
        <v>9024.950805602477</v>
      </c>
      <c r="R18" s="40">
        <v>9313.5589204000717</v>
      </c>
      <c r="S18" s="40">
        <v>9840.2068533114889</v>
      </c>
      <c r="T18" s="40">
        <v>8292.5291534182197</v>
      </c>
      <c r="U18" s="40">
        <v>7431.8272537189714</v>
      </c>
      <c r="V18" s="40">
        <v>7614.1420708027536</v>
      </c>
      <c r="W18" s="40">
        <v>7102.6867601241938</v>
      </c>
      <c r="X18" s="40">
        <v>6755.1337867299644</v>
      </c>
      <c r="Y18" s="78">
        <v>6165.9476340747506</v>
      </c>
      <c r="Z18" s="78">
        <v>6872.9515867653263</v>
      </c>
      <c r="AA18" s="78">
        <v>5975.1323801756907</v>
      </c>
      <c r="AB18" s="78">
        <v>6077.7671221369283</v>
      </c>
      <c r="AC18" s="78">
        <v>6022.6900509787893</v>
      </c>
      <c r="AD18" s="78">
        <v>5828.2158766495013</v>
      </c>
      <c r="AE18" s="78">
        <v>5673.3502385623888</v>
      </c>
      <c r="AF18" s="78">
        <v>5419.3229961193802</v>
      </c>
      <c r="AG18" s="78">
        <v>5319.8537536414296</v>
      </c>
      <c r="AH18" s="69">
        <v>-1.8354551398611529E-2</v>
      </c>
      <c r="AI18" s="70">
        <v>-9.9469242477950498E-2</v>
      </c>
      <c r="AJ18" s="116">
        <v>-0.15667566870926242</v>
      </c>
      <c r="AK18" s="71">
        <v>-0.4105393072792165</v>
      </c>
    </row>
    <row r="19" spans="1:37" x14ac:dyDescent="0.25">
      <c r="A19" s="15" t="s">
        <v>16</v>
      </c>
      <c r="B19" s="29">
        <v>3254.4996919578111</v>
      </c>
      <c r="C19" s="79">
        <v>2953.631551444907</v>
      </c>
      <c r="D19" s="29">
        <v>2444.6888173390339</v>
      </c>
      <c r="E19" s="29">
        <v>2539.3624300100178</v>
      </c>
      <c r="F19" s="29">
        <v>3178.3327910981743</v>
      </c>
      <c r="G19" s="29">
        <v>3557.5038634424545</v>
      </c>
      <c r="H19" s="29">
        <v>3684.8126046209513</v>
      </c>
      <c r="I19" s="29">
        <v>3674.1099520577709</v>
      </c>
      <c r="J19" s="29">
        <v>3986.1412910478271</v>
      </c>
      <c r="K19" s="29">
        <v>4080.3565172568365</v>
      </c>
      <c r="L19" s="29">
        <v>4168.281036983888</v>
      </c>
      <c r="M19" s="29">
        <v>4306.3796512569634</v>
      </c>
      <c r="N19" s="29">
        <v>4360.0352875263925</v>
      </c>
      <c r="O19" s="29">
        <v>4339.8022870371005</v>
      </c>
      <c r="P19" s="29">
        <v>4405.755676990183</v>
      </c>
      <c r="Q19" s="29">
        <v>4466.7249270000002</v>
      </c>
      <c r="R19" s="29">
        <v>4395.8183890738237</v>
      </c>
      <c r="S19" s="29">
        <v>4268.8038906731044</v>
      </c>
      <c r="T19" s="29">
        <v>3499.7432373418696</v>
      </c>
      <c r="U19" s="29">
        <v>2788.8635802715003</v>
      </c>
      <c r="V19" s="29">
        <v>2783.09747344876</v>
      </c>
      <c r="W19" s="29">
        <v>2423.7805955811655</v>
      </c>
      <c r="X19" s="29">
        <v>2195.5830511420518</v>
      </c>
      <c r="Y19" s="72">
        <v>1700.6905258633656</v>
      </c>
      <c r="Z19" s="72">
        <v>2190.4899253925123</v>
      </c>
      <c r="AA19" s="72">
        <v>2184.4831627439166</v>
      </c>
      <c r="AB19" s="72">
        <v>2284.0587435800899</v>
      </c>
      <c r="AC19" s="72">
        <v>2415.5955299972356</v>
      </c>
      <c r="AD19" s="72">
        <v>2363.0359253981728</v>
      </c>
      <c r="AE19" s="72">
        <v>2344.5552264538228</v>
      </c>
      <c r="AF19" s="72">
        <v>2245.3836934771471</v>
      </c>
      <c r="AG19" s="72">
        <v>2136.6366407750411</v>
      </c>
      <c r="AH19" s="69">
        <v>-4.8431389707699779E-2</v>
      </c>
      <c r="AI19" s="70">
        <v>-0.10874705270210598</v>
      </c>
      <c r="AJ19" s="116">
        <v>-0.34348230357652809</v>
      </c>
      <c r="AK19" s="71">
        <v>-0.52165475248772997</v>
      </c>
    </row>
    <row r="20" spans="1:37" x14ac:dyDescent="0.25">
      <c r="A20" s="15" t="s">
        <v>17</v>
      </c>
      <c r="B20" s="33">
        <v>2924.5694503497489</v>
      </c>
      <c r="C20" s="74">
        <v>3046.0336251895733</v>
      </c>
      <c r="D20" s="33">
        <v>4040.6974119895858</v>
      </c>
      <c r="E20" s="33">
        <v>3699.0905339124356</v>
      </c>
      <c r="F20" s="33">
        <v>4403.9338684361437</v>
      </c>
      <c r="G20" s="33">
        <v>5216.3024944612644</v>
      </c>
      <c r="H20" s="33">
        <v>5436.1880383009511</v>
      </c>
      <c r="I20" s="33">
        <v>5924.1410988749521</v>
      </c>
      <c r="J20" s="33">
        <v>5436.4383432932136</v>
      </c>
      <c r="K20" s="33">
        <v>6664.2581780388955</v>
      </c>
      <c r="L20" s="33">
        <v>6942.5701247233146</v>
      </c>
      <c r="M20" s="33">
        <v>4089.3895370511455</v>
      </c>
      <c r="N20" s="33">
        <v>1961.8585904728357</v>
      </c>
      <c r="O20" s="33">
        <v>3070.7638169406187</v>
      </c>
      <c r="P20" s="33">
        <v>2636.2457651168493</v>
      </c>
      <c r="Q20" s="33">
        <v>2574.1803998691726</v>
      </c>
      <c r="R20" s="33">
        <v>2544.7758870321568</v>
      </c>
      <c r="S20" s="33">
        <v>2864.9636100057496</v>
      </c>
      <c r="T20" s="33">
        <v>1932.3319507562996</v>
      </c>
      <c r="U20" s="33">
        <v>2009.4067431415881</v>
      </c>
      <c r="V20" s="33">
        <v>2207.0991338403855</v>
      </c>
      <c r="W20" s="33">
        <v>2059.7791595902527</v>
      </c>
      <c r="X20" s="33">
        <v>1897.7918556930938</v>
      </c>
      <c r="Y20" s="73">
        <v>1806.2254162253905</v>
      </c>
      <c r="Z20" s="73">
        <v>2065.4033056564381</v>
      </c>
      <c r="AA20" s="73">
        <v>2193.4962324546373</v>
      </c>
      <c r="AB20" s="73">
        <v>2226.9052521935</v>
      </c>
      <c r="AC20" s="73">
        <v>2284.7194163643762</v>
      </c>
      <c r="AD20" s="73">
        <v>2289.6911536883176</v>
      </c>
      <c r="AE20" s="73">
        <v>2163.0621757951208</v>
      </c>
      <c r="AF20" s="73">
        <v>2126.5465413731645</v>
      </c>
      <c r="AG20" s="73">
        <v>2122.5329300014837</v>
      </c>
      <c r="AH20" s="69">
        <v>-1.8873846838495245E-3</v>
      </c>
      <c r="AI20" s="70">
        <v>-4.013611371680781E-3</v>
      </c>
      <c r="AJ20" s="116">
        <v>-0.2742408870653934</v>
      </c>
      <c r="AK20" s="71">
        <v>-0.17545292081729891</v>
      </c>
    </row>
    <row r="21" spans="1:37" x14ac:dyDescent="0.25">
      <c r="A21" s="15" t="s">
        <v>18</v>
      </c>
      <c r="B21" s="33">
        <v>26.953714999999999</v>
      </c>
      <c r="C21" s="74">
        <v>26.748175</v>
      </c>
      <c r="D21" s="33">
        <v>26.582344000000003</v>
      </c>
      <c r="E21" s="33">
        <v>27.447768999999997</v>
      </c>
      <c r="F21" s="33">
        <v>29.015511</v>
      </c>
      <c r="G21" s="33">
        <v>29.331289999999999</v>
      </c>
      <c r="H21" s="33">
        <v>29.775718999999999</v>
      </c>
      <c r="I21" s="33">
        <v>31.723358999999999</v>
      </c>
      <c r="J21" s="33">
        <v>33.339826000000002</v>
      </c>
      <c r="K21" s="33">
        <v>37.267620999999998</v>
      </c>
      <c r="L21" s="33">
        <v>37.648879999999998</v>
      </c>
      <c r="M21" s="33">
        <v>41.1864551408</v>
      </c>
      <c r="N21" s="33">
        <v>39.461810185999994</v>
      </c>
      <c r="O21" s="33">
        <v>37.559632714199999</v>
      </c>
      <c r="P21" s="33">
        <v>61.727199999999996</v>
      </c>
      <c r="Q21" s="33">
        <v>71.0959098965062</v>
      </c>
      <c r="R21" s="33">
        <v>78.05051289750422</v>
      </c>
      <c r="S21" s="33">
        <v>83.126334974445328</v>
      </c>
      <c r="T21" s="33">
        <v>84.357586228878887</v>
      </c>
      <c r="U21" s="33">
        <v>72.99225332012</v>
      </c>
      <c r="V21" s="33">
        <v>63.311417737260463</v>
      </c>
      <c r="W21" s="33">
        <v>60.717741937802238</v>
      </c>
      <c r="X21" s="33">
        <v>49.309758831016104</v>
      </c>
      <c r="Y21" s="73">
        <v>42.563702545946406</v>
      </c>
      <c r="Z21" s="73">
        <v>38.171257712485023</v>
      </c>
      <c r="AA21" s="73">
        <v>48.669678663408</v>
      </c>
      <c r="AB21" s="73">
        <v>40.959993389125742</v>
      </c>
      <c r="AC21" s="73">
        <v>41.0238530140576</v>
      </c>
      <c r="AD21" s="73">
        <v>44.742036152000004</v>
      </c>
      <c r="AE21" s="73">
        <v>53.904343944000004</v>
      </c>
      <c r="AF21" s="73">
        <v>53.837002267999999</v>
      </c>
      <c r="AG21" s="73">
        <v>49.285529482000001</v>
      </c>
      <c r="AH21" s="69">
        <v>-8.4541720271548826E-2</v>
      </c>
      <c r="AI21" s="70">
        <v>-4.5514727859999977E-3</v>
      </c>
      <c r="AJ21" s="116">
        <v>0.82852454594849001</v>
      </c>
      <c r="AK21" s="71">
        <v>-0.3067740527725914</v>
      </c>
    </row>
    <row r="22" spans="1:37" x14ac:dyDescent="0.25">
      <c r="A22" s="15" t="s">
        <v>32</v>
      </c>
      <c r="B22" s="33">
        <v>33.121285999999998</v>
      </c>
      <c r="C22" s="74">
        <v>32.015788000000001</v>
      </c>
      <c r="D22" s="33">
        <v>31.623305999999999</v>
      </c>
      <c r="E22" s="33">
        <v>25.732173000000003</v>
      </c>
      <c r="F22" s="33">
        <v>33.713060999999996</v>
      </c>
      <c r="G22" s="33">
        <v>33.583162000000002</v>
      </c>
      <c r="H22" s="33">
        <v>41.249938999999998</v>
      </c>
      <c r="I22" s="33">
        <v>43.418014000000007</v>
      </c>
      <c r="J22" s="33">
        <v>50.406519000000003</v>
      </c>
      <c r="K22" s="33">
        <v>67.940888999999999</v>
      </c>
      <c r="L22" s="33">
        <v>71.316942999999995</v>
      </c>
      <c r="M22" s="33">
        <v>68.186291999999995</v>
      </c>
      <c r="N22" s="33">
        <v>52.648158000000002</v>
      </c>
      <c r="O22" s="33">
        <v>47.694378</v>
      </c>
      <c r="P22" s="33">
        <v>48.763913000000002</v>
      </c>
      <c r="Q22" s="33">
        <v>60.331873000000009</v>
      </c>
      <c r="R22" s="33">
        <v>58.624102000000008</v>
      </c>
      <c r="S22" s="33">
        <v>57.078061999999996</v>
      </c>
      <c r="T22" s="33">
        <v>63.205185999999998</v>
      </c>
      <c r="U22" s="33">
        <v>57.043931000000001</v>
      </c>
      <c r="V22" s="33">
        <v>57.610632000000003</v>
      </c>
      <c r="W22" s="33">
        <v>55.4191</v>
      </c>
      <c r="X22" s="33">
        <v>54.606425000000002</v>
      </c>
      <c r="Y22" s="73">
        <v>55.648738000000002</v>
      </c>
      <c r="Z22" s="73">
        <v>57.087382999999996</v>
      </c>
      <c r="AA22" s="73">
        <v>55.928989999999999</v>
      </c>
      <c r="AB22" s="73">
        <v>59.246375999999998</v>
      </c>
      <c r="AC22" s="73">
        <v>61.948888999999994</v>
      </c>
      <c r="AD22" s="73">
        <v>62.587950999999997</v>
      </c>
      <c r="AE22" s="73">
        <v>62.889898000000002</v>
      </c>
      <c r="AF22" s="73">
        <v>57.618946000000001</v>
      </c>
      <c r="AG22" s="73">
        <v>59.680239999999998</v>
      </c>
      <c r="AH22" s="69">
        <v>3.5774587060304786E-2</v>
      </c>
      <c r="AI22" s="70">
        <v>2.0612939999999965E-3</v>
      </c>
      <c r="AJ22" s="116">
        <v>0.80186964962652718</v>
      </c>
      <c r="AK22" s="71">
        <v>-1.0800808388627514E-2</v>
      </c>
    </row>
    <row r="23" spans="1:37" x14ac:dyDescent="0.25">
      <c r="A23" s="15" t="s">
        <v>33</v>
      </c>
      <c r="B23" s="80">
        <v>0</v>
      </c>
      <c r="C23" s="81">
        <v>0</v>
      </c>
      <c r="D23" s="80">
        <v>0</v>
      </c>
      <c r="E23" s="80">
        <v>0</v>
      </c>
      <c r="F23" s="80">
        <v>0</v>
      </c>
      <c r="G23" s="80">
        <v>0</v>
      </c>
      <c r="H23" s="80">
        <v>0</v>
      </c>
      <c r="I23" s="80">
        <v>0</v>
      </c>
      <c r="J23" s="80">
        <v>0</v>
      </c>
      <c r="K23" s="80">
        <v>0</v>
      </c>
      <c r="L23" s="80">
        <v>0</v>
      </c>
      <c r="M23" s="80">
        <v>0</v>
      </c>
      <c r="N23" s="80">
        <v>0</v>
      </c>
      <c r="O23" s="80">
        <v>0</v>
      </c>
      <c r="P23" s="80">
        <v>0</v>
      </c>
      <c r="Q23" s="80">
        <v>0</v>
      </c>
      <c r="R23" s="80">
        <v>0</v>
      </c>
      <c r="S23" s="80">
        <v>0</v>
      </c>
      <c r="T23" s="80">
        <v>0</v>
      </c>
      <c r="U23" s="80">
        <v>0</v>
      </c>
      <c r="V23" s="80">
        <v>0</v>
      </c>
      <c r="W23" s="80">
        <v>0</v>
      </c>
      <c r="X23" s="80">
        <v>0</v>
      </c>
      <c r="Y23" s="82">
        <v>0</v>
      </c>
      <c r="Z23" s="82">
        <v>0</v>
      </c>
      <c r="AA23" s="82">
        <v>0</v>
      </c>
      <c r="AB23" s="82">
        <v>0</v>
      </c>
      <c r="AC23" s="82">
        <v>0</v>
      </c>
      <c r="AD23" s="82">
        <v>0</v>
      </c>
      <c r="AE23" s="82">
        <v>0</v>
      </c>
      <c r="AF23" s="82">
        <v>0</v>
      </c>
      <c r="AG23" s="82">
        <v>0</v>
      </c>
      <c r="AH23" s="69">
        <v>0</v>
      </c>
      <c r="AI23" s="70">
        <v>0</v>
      </c>
      <c r="AJ23" s="116">
        <v>0</v>
      </c>
      <c r="AK23" s="71">
        <v>0</v>
      </c>
    </row>
    <row r="24" spans="1:37" x14ac:dyDescent="0.25">
      <c r="A24" s="15" t="s">
        <v>36</v>
      </c>
      <c r="B24" s="80">
        <v>0</v>
      </c>
      <c r="C24" s="81">
        <v>0</v>
      </c>
      <c r="D24" s="80">
        <v>0</v>
      </c>
      <c r="E24" s="80">
        <v>0</v>
      </c>
      <c r="F24" s="80">
        <v>0</v>
      </c>
      <c r="G24" s="80">
        <v>0.141023545</v>
      </c>
      <c r="H24" s="80">
        <v>69.58900584024002</v>
      </c>
      <c r="I24" s="80">
        <v>142.93094115290998</v>
      </c>
      <c r="J24" s="80">
        <v>321.49080319712789</v>
      </c>
      <c r="K24" s="80">
        <v>462.40504212101195</v>
      </c>
      <c r="L24" s="80">
        <v>634.25411097386223</v>
      </c>
      <c r="M24" s="80">
        <v>801.69943624777488</v>
      </c>
      <c r="N24" s="80">
        <v>961.27896536034405</v>
      </c>
      <c r="O24" s="80">
        <v>1217.0221304043635</v>
      </c>
      <c r="P24" s="80">
        <v>1485.603827563855</v>
      </c>
      <c r="Q24" s="80">
        <v>1721.5960697412982</v>
      </c>
      <c r="R24" s="80">
        <v>2077.8376628145879</v>
      </c>
      <c r="S24" s="80">
        <v>2414.709083596691</v>
      </c>
      <c r="T24" s="80">
        <v>2561.7043895191714</v>
      </c>
      <c r="U24" s="80">
        <v>2358.6302045642628</v>
      </c>
      <c r="V24" s="80">
        <v>2362.6955904243464</v>
      </c>
      <c r="W24" s="80">
        <v>2374.4765885629736</v>
      </c>
      <c r="X24" s="80">
        <v>2449.642455586803</v>
      </c>
      <c r="Y24" s="82">
        <v>2466.3155036465482</v>
      </c>
      <c r="Z24" s="82">
        <v>2427.8100689718895</v>
      </c>
      <c r="AA24" s="82">
        <v>1407.7936183947281</v>
      </c>
      <c r="AB24" s="82">
        <v>1377.5658133257127</v>
      </c>
      <c r="AC24" s="82">
        <v>1130.1886485641191</v>
      </c>
      <c r="AD24" s="82">
        <v>969.08083739550989</v>
      </c>
      <c r="AE24" s="82">
        <v>925.6733515989439</v>
      </c>
      <c r="AF24" s="82">
        <v>799.40372305106894</v>
      </c>
      <c r="AG24" s="82">
        <v>820.97529419340526</v>
      </c>
      <c r="AH24" s="69">
        <v>2.6984576779308211E-2</v>
      </c>
      <c r="AI24" s="70">
        <v>2.1571571142336324E-2</v>
      </c>
      <c r="AJ24" s="116">
        <v>0</v>
      </c>
      <c r="AK24" s="71">
        <v>-0.52313129158294835</v>
      </c>
    </row>
    <row r="25" spans="1:37" x14ac:dyDescent="0.25">
      <c r="A25" s="15" t="s">
        <v>34</v>
      </c>
      <c r="B25" s="33">
        <v>69.0501732245</v>
      </c>
      <c r="C25" s="74">
        <v>81.243474098000007</v>
      </c>
      <c r="D25" s="33">
        <v>94.163748073500003</v>
      </c>
      <c r="E25" s="33">
        <v>103.94490308349999</v>
      </c>
      <c r="F25" s="33">
        <v>113.05542867599999</v>
      </c>
      <c r="G25" s="33">
        <v>120.66101654249999</v>
      </c>
      <c r="H25" s="33">
        <v>125.76712165700002</v>
      </c>
      <c r="I25" s="33">
        <v>135.5558257065</v>
      </c>
      <c r="J25" s="33">
        <v>131.10643754450001</v>
      </c>
      <c r="K25" s="33">
        <v>126.30273899149999</v>
      </c>
      <c r="L25" s="33">
        <v>126.07269631200001</v>
      </c>
      <c r="M25" s="33">
        <v>132.1987434925</v>
      </c>
      <c r="N25" s="33">
        <v>127.465461202</v>
      </c>
      <c r="O25" s="33">
        <v>114.195472099</v>
      </c>
      <c r="P25" s="33">
        <v>107.4347979635</v>
      </c>
      <c r="Q25" s="33">
        <v>131.02162609549998</v>
      </c>
      <c r="R25" s="33">
        <v>158.452366582</v>
      </c>
      <c r="S25" s="33">
        <v>151.5258720615</v>
      </c>
      <c r="T25" s="33">
        <v>151.18680357200003</v>
      </c>
      <c r="U25" s="33">
        <v>144.89054142149999</v>
      </c>
      <c r="V25" s="33">
        <v>140.327823352</v>
      </c>
      <c r="W25" s="33">
        <v>128.513574452</v>
      </c>
      <c r="X25" s="33">
        <v>108.20024047699999</v>
      </c>
      <c r="Y25" s="73">
        <v>94.503747793499997</v>
      </c>
      <c r="Z25" s="73">
        <v>93.989646031999996</v>
      </c>
      <c r="AA25" s="73">
        <v>84.760697918999995</v>
      </c>
      <c r="AB25" s="73">
        <v>89.030943648499999</v>
      </c>
      <c r="AC25" s="73">
        <v>89.213714038999996</v>
      </c>
      <c r="AD25" s="73">
        <v>99.077973015500007</v>
      </c>
      <c r="AE25" s="73">
        <v>123.2652427705</v>
      </c>
      <c r="AF25" s="73">
        <v>136.53308994999998</v>
      </c>
      <c r="AG25" s="73">
        <v>130.74311918949999</v>
      </c>
      <c r="AH25" s="69">
        <v>-4.2407088000574356E-2</v>
      </c>
      <c r="AI25" s="70">
        <v>-5.7899707604999835E-3</v>
      </c>
      <c r="AJ25" s="116">
        <v>0.89345099489352831</v>
      </c>
      <c r="AK25" s="71">
        <v>-2.1256560027501648E-3</v>
      </c>
    </row>
    <row r="26" spans="1:37" ht="13" thickBot="1" x14ac:dyDescent="0.3">
      <c r="A26" s="16" t="s">
        <v>35</v>
      </c>
      <c r="B26" s="83">
        <v>0</v>
      </c>
      <c r="C26" s="84">
        <v>0</v>
      </c>
      <c r="D26" s="85">
        <v>0</v>
      </c>
      <c r="E26" s="84">
        <v>0</v>
      </c>
      <c r="F26" s="85">
        <v>0</v>
      </c>
      <c r="G26" s="86">
        <v>0</v>
      </c>
      <c r="H26" s="86">
        <v>0</v>
      </c>
      <c r="I26" s="84">
        <v>0</v>
      </c>
      <c r="J26" s="84">
        <v>0</v>
      </c>
      <c r="K26" s="85">
        <v>0</v>
      </c>
      <c r="L26" s="86">
        <v>0</v>
      </c>
      <c r="M26" s="84">
        <v>0</v>
      </c>
      <c r="N26" s="84">
        <v>0</v>
      </c>
      <c r="O26" s="85">
        <v>0</v>
      </c>
      <c r="P26" s="84">
        <v>0</v>
      </c>
      <c r="Q26" s="85">
        <v>0</v>
      </c>
      <c r="R26" s="86">
        <v>0</v>
      </c>
      <c r="S26" s="86">
        <v>0</v>
      </c>
      <c r="T26" s="84">
        <v>0</v>
      </c>
      <c r="U26" s="85">
        <v>0</v>
      </c>
      <c r="V26" s="86">
        <v>0</v>
      </c>
      <c r="W26" s="84">
        <v>0</v>
      </c>
      <c r="X26" s="87">
        <v>0</v>
      </c>
      <c r="Y26" s="85">
        <v>0</v>
      </c>
      <c r="Z26" s="84">
        <v>0</v>
      </c>
      <c r="AA26" s="84">
        <v>0</v>
      </c>
      <c r="AB26" s="84">
        <v>0</v>
      </c>
      <c r="AC26" s="84">
        <v>0</v>
      </c>
      <c r="AD26" s="84">
        <v>0</v>
      </c>
      <c r="AE26" s="84">
        <v>0</v>
      </c>
      <c r="AF26" s="84">
        <v>0</v>
      </c>
      <c r="AG26" s="84">
        <v>0</v>
      </c>
      <c r="AH26" s="69">
        <v>0</v>
      </c>
      <c r="AI26" s="70">
        <v>0</v>
      </c>
      <c r="AJ26" s="116">
        <v>0</v>
      </c>
      <c r="AK26" s="71">
        <v>0</v>
      </c>
    </row>
    <row r="27" spans="1:37" x14ac:dyDescent="0.25">
      <c r="A27" s="18" t="s">
        <v>38</v>
      </c>
      <c r="B27" s="40">
        <v>4173.1586153990002</v>
      </c>
      <c r="C27" s="77">
        <v>3875.3224554480003</v>
      </c>
      <c r="D27" s="40">
        <v>3899.1895204560005</v>
      </c>
      <c r="E27" s="40">
        <v>3925.8665283329997</v>
      </c>
      <c r="F27" s="40">
        <v>4065.2183354819995</v>
      </c>
      <c r="G27" s="40">
        <v>4299.9983711619998</v>
      </c>
      <c r="H27" s="40">
        <v>4540.1236227349991</v>
      </c>
      <c r="I27" s="40">
        <v>4405.6414108829995</v>
      </c>
      <c r="J27" s="40">
        <v>4468.9185379809996</v>
      </c>
      <c r="K27" s="40">
        <v>4662.3852459920008</v>
      </c>
      <c r="L27" s="40">
        <v>5144.978403404999</v>
      </c>
      <c r="M27" s="40">
        <v>4999.3083974679994</v>
      </c>
      <c r="N27" s="40">
        <v>4879.2918137680008</v>
      </c>
      <c r="O27" s="40">
        <v>4897.7580397850006</v>
      </c>
      <c r="P27" s="40">
        <v>4658.3070272879995</v>
      </c>
      <c r="Q27" s="40">
        <v>4072.0284794810004</v>
      </c>
      <c r="R27" s="40">
        <v>3776.734084536</v>
      </c>
      <c r="S27" s="40">
        <v>3896.9171431029999</v>
      </c>
      <c r="T27" s="40">
        <v>3680.9124563939995</v>
      </c>
      <c r="U27" s="40">
        <v>3710.1681464190005</v>
      </c>
      <c r="V27" s="40">
        <v>3524.9488038580002</v>
      </c>
      <c r="W27" s="40">
        <v>3692.3104293609995</v>
      </c>
      <c r="X27" s="40">
        <v>3656.639801666</v>
      </c>
      <c r="Y27" s="78">
        <v>3456.0837763950003</v>
      </c>
      <c r="Z27" s="78">
        <v>3695.2789931569996</v>
      </c>
      <c r="AA27" s="78">
        <v>3773.232121512</v>
      </c>
      <c r="AB27" s="78">
        <v>3793.4701137110001</v>
      </c>
      <c r="AC27" s="78">
        <v>3749.646519678</v>
      </c>
      <c r="AD27" s="78">
        <v>3792.2942519759999</v>
      </c>
      <c r="AE27" s="78">
        <v>3800.4104498359998</v>
      </c>
      <c r="AF27" s="78">
        <v>3757.7470889800002</v>
      </c>
      <c r="AG27" s="78">
        <v>3895.9132639729996</v>
      </c>
      <c r="AH27" s="69">
        <v>3.6768353942229659E-2</v>
      </c>
      <c r="AI27" s="70">
        <v>0.13816617499299946</v>
      </c>
      <c r="AJ27" s="116">
        <v>-6.6435373532882758E-2</v>
      </c>
      <c r="AK27" s="71">
        <v>-4.3249996014381398E-2</v>
      </c>
    </row>
    <row r="28" spans="1:37" x14ac:dyDescent="0.25">
      <c r="A28" s="15" t="s">
        <v>19</v>
      </c>
      <c r="B28" s="88">
        <v>1262.0336620359999</v>
      </c>
      <c r="C28" s="89">
        <v>1214.375507492</v>
      </c>
      <c r="D28" s="88">
        <v>1164.713799396</v>
      </c>
      <c r="E28" s="88">
        <v>1197.261269008</v>
      </c>
      <c r="F28" s="88">
        <v>1247.1153010399998</v>
      </c>
      <c r="G28" s="88">
        <v>1377.1656663799999</v>
      </c>
      <c r="H28" s="88">
        <v>1430.9400644279999</v>
      </c>
      <c r="I28" s="88">
        <v>1392.3005338200001</v>
      </c>
      <c r="J28" s="88">
        <v>1392.7241280399999</v>
      </c>
      <c r="K28" s="88">
        <v>1383.9291792480001</v>
      </c>
      <c r="L28" s="88">
        <v>1531.5510796879998</v>
      </c>
      <c r="M28" s="88">
        <v>1508.4367001199998</v>
      </c>
      <c r="N28" s="88">
        <v>1467.7719295960001</v>
      </c>
      <c r="O28" s="88">
        <v>1439.1911095800001</v>
      </c>
      <c r="P28" s="88">
        <v>1328.3179673959999</v>
      </c>
      <c r="Q28" s="88">
        <v>1302.739118576</v>
      </c>
      <c r="R28" s="88">
        <v>1183.395068716</v>
      </c>
      <c r="S28" s="88">
        <v>1178.211936916</v>
      </c>
      <c r="T28" s="88">
        <v>1071.9487239160001</v>
      </c>
      <c r="U28" s="88">
        <v>1071.732628596</v>
      </c>
      <c r="V28" s="88">
        <v>1186.514402836</v>
      </c>
      <c r="W28" s="88">
        <v>1184.3463413879999</v>
      </c>
      <c r="X28" s="88">
        <v>1186.8871971599999</v>
      </c>
      <c r="Y28" s="90">
        <v>1154.0839551640001</v>
      </c>
      <c r="Z28" s="90">
        <v>1176.360224564</v>
      </c>
      <c r="AA28" s="90">
        <v>1188.1268495320001</v>
      </c>
      <c r="AB28" s="90">
        <v>1219.0248765239999</v>
      </c>
      <c r="AC28" s="90">
        <v>1213.896369392</v>
      </c>
      <c r="AD28" s="90">
        <v>1254.8608478840001</v>
      </c>
      <c r="AE28" s="90">
        <v>1216.9964597559999</v>
      </c>
      <c r="AF28" s="90">
        <v>1177.8450137720001</v>
      </c>
      <c r="AG28" s="90">
        <v>1305.6759740359998</v>
      </c>
      <c r="AH28" s="69">
        <v>0.10852952533595772</v>
      </c>
      <c r="AI28" s="70">
        <v>0.1278309602639997</v>
      </c>
      <c r="AJ28" s="116">
        <v>3.4580941311496582E-2</v>
      </c>
      <c r="AK28" s="71">
        <v>2.2543695956640519E-3</v>
      </c>
    </row>
    <row r="29" spans="1:37" x14ac:dyDescent="0.25">
      <c r="A29" s="15" t="s">
        <v>20</v>
      </c>
      <c r="B29" s="80">
        <v>2278.3228728439999</v>
      </c>
      <c r="C29" s="81">
        <v>2021.4846387</v>
      </c>
      <c r="D29" s="80">
        <v>2090.0461769940002</v>
      </c>
      <c r="E29" s="80">
        <v>2106.9686686370001</v>
      </c>
      <c r="F29" s="80">
        <v>2174.0627569859998</v>
      </c>
      <c r="G29" s="80">
        <v>2288.5850796340001</v>
      </c>
      <c r="H29" s="80">
        <v>2389.475073826</v>
      </c>
      <c r="I29" s="80">
        <v>2341.8755291319999</v>
      </c>
      <c r="J29" s="80">
        <v>2373.7563228700001</v>
      </c>
      <c r="K29" s="80">
        <v>2563.9693774550005</v>
      </c>
      <c r="L29" s="80">
        <v>2891.8670766830001</v>
      </c>
      <c r="M29" s="80">
        <v>2807.5048861569999</v>
      </c>
      <c r="N29" s="80">
        <v>2768.5022999150001</v>
      </c>
      <c r="O29" s="80">
        <v>2762.2169716440003</v>
      </c>
      <c r="P29" s="80">
        <v>2701.9632545339996</v>
      </c>
      <c r="Q29" s="80">
        <v>2202.4258267740001</v>
      </c>
      <c r="R29" s="80">
        <v>2004.9004751419998</v>
      </c>
      <c r="S29" s="80">
        <v>2129.8315954179998</v>
      </c>
      <c r="T29" s="80">
        <v>2079.3407818670003</v>
      </c>
      <c r="U29" s="80">
        <v>2084.639648887</v>
      </c>
      <c r="V29" s="80">
        <v>1777.54597233</v>
      </c>
      <c r="W29" s="80">
        <v>1977.1071380970002</v>
      </c>
      <c r="X29" s="80">
        <v>1951.49075816</v>
      </c>
      <c r="Y29" s="82">
        <v>1750.3576771149999</v>
      </c>
      <c r="Z29" s="82">
        <v>1927.3967188449999</v>
      </c>
      <c r="AA29" s="82">
        <v>1993.679935974</v>
      </c>
      <c r="AB29" s="82">
        <v>2008.272240817</v>
      </c>
      <c r="AC29" s="82">
        <v>1928.2457475189997</v>
      </c>
      <c r="AD29" s="82">
        <v>1931.4262897359999</v>
      </c>
      <c r="AE29" s="82">
        <v>1993.1666957120001</v>
      </c>
      <c r="AF29" s="82">
        <v>1952.763798769</v>
      </c>
      <c r="AG29" s="82">
        <v>1973.6040398229998</v>
      </c>
      <c r="AH29" s="69">
        <v>1.0672177079039002E-2</v>
      </c>
      <c r="AI29" s="70">
        <v>2.0840241053999762E-2</v>
      </c>
      <c r="AJ29" s="116">
        <v>-0.1337469928661269</v>
      </c>
      <c r="AK29" s="71">
        <v>-0.1038953431118117</v>
      </c>
    </row>
    <row r="30" spans="1:37" x14ac:dyDescent="0.25">
      <c r="A30" s="15" t="s">
        <v>21</v>
      </c>
      <c r="B30" s="80">
        <v>111.26783500000001</v>
      </c>
      <c r="C30" s="81">
        <v>114.01367927599999</v>
      </c>
      <c r="D30" s="80">
        <v>125.19159996</v>
      </c>
      <c r="E30" s="80">
        <v>119.48313426</v>
      </c>
      <c r="F30" s="80">
        <v>114.01367927599999</v>
      </c>
      <c r="G30" s="80">
        <v>125.20271674399999</v>
      </c>
      <c r="H30" s="80">
        <v>120.033414788</v>
      </c>
      <c r="I30" s="80">
        <v>119.75549530000001</v>
      </c>
      <c r="J30" s="80">
        <v>120.82826442400001</v>
      </c>
      <c r="K30" s="80">
        <v>120.03341476000001</v>
      </c>
      <c r="L30" s="80">
        <v>117.871201392</v>
      </c>
      <c r="M30" s="80">
        <v>117.898993324</v>
      </c>
      <c r="N30" s="80">
        <v>118.59379195999999</v>
      </c>
      <c r="O30" s="80">
        <v>119.3052658</v>
      </c>
      <c r="P30" s="80">
        <v>120.211283248</v>
      </c>
      <c r="Q30" s="80">
        <v>119.88889668</v>
      </c>
      <c r="R30" s="80">
        <v>119.94448054400002</v>
      </c>
      <c r="S30" s="80">
        <v>119.80552080000001</v>
      </c>
      <c r="T30" s="80">
        <v>118.33810606799999</v>
      </c>
      <c r="U30" s="80">
        <v>119.03290473199999</v>
      </c>
      <c r="V30" s="80">
        <v>118.221379892</v>
      </c>
      <c r="W30" s="80">
        <v>117.309804052</v>
      </c>
      <c r="X30" s="80">
        <v>116.09251682000001</v>
      </c>
      <c r="Y30" s="82">
        <v>116.08140003600001</v>
      </c>
      <c r="Z30" s="82">
        <v>115.47247849199999</v>
      </c>
      <c r="AA30" s="82">
        <v>116.820665808</v>
      </c>
      <c r="AB30" s="82">
        <v>116.10919199599999</v>
      </c>
      <c r="AC30" s="82">
        <v>114.36941616799999</v>
      </c>
      <c r="AD30" s="82">
        <v>116.381553064</v>
      </c>
      <c r="AE30" s="82">
        <v>116.209242996</v>
      </c>
      <c r="AF30" s="82">
        <v>116.770640308</v>
      </c>
      <c r="AG30" s="82">
        <v>116.770640308</v>
      </c>
      <c r="AH30" s="69">
        <v>0</v>
      </c>
      <c r="AI30" s="70">
        <v>0</v>
      </c>
      <c r="AJ30" s="116">
        <v>4.9455490061435903E-2</v>
      </c>
      <c r="AK30" s="71">
        <v>-2.6009550995561015E-2</v>
      </c>
    </row>
    <row r="31" spans="1:37" x14ac:dyDescent="0.25">
      <c r="A31" s="15" t="s">
        <v>22</v>
      </c>
      <c r="B31" s="49">
        <v>463.47963666499999</v>
      </c>
      <c r="C31" s="91">
        <v>462.31926844500003</v>
      </c>
      <c r="D31" s="49">
        <v>453.41713272000004</v>
      </c>
      <c r="E31" s="49">
        <v>443.64529985500002</v>
      </c>
      <c r="F31" s="49">
        <v>478.372021335</v>
      </c>
      <c r="G31" s="49">
        <v>463.246974615</v>
      </c>
      <c r="H31" s="49">
        <v>540.51714403999995</v>
      </c>
      <c r="I31" s="49">
        <v>500.67385185000001</v>
      </c>
      <c r="J31" s="49">
        <v>521.97749202499995</v>
      </c>
      <c r="K31" s="49">
        <v>539.96813850499996</v>
      </c>
      <c r="L31" s="49">
        <v>576.497859565</v>
      </c>
      <c r="M31" s="49">
        <v>550.38233084000001</v>
      </c>
      <c r="N31" s="49">
        <v>513.49000497999998</v>
      </c>
      <c r="O31" s="49">
        <v>559.62867082499997</v>
      </c>
      <c r="P31" s="49">
        <v>494.54741834499998</v>
      </c>
      <c r="Q31" s="49">
        <v>439.49588957499998</v>
      </c>
      <c r="R31" s="49">
        <v>454.88256761499997</v>
      </c>
      <c r="S31" s="49">
        <v>457.353111205</v>
      </c>
      <c r="T31" s="49">
        <v>403.00615118500002</v>
      </c>
      <c r="U31" s="49">
        <v>420.45215296999999</v>
      </c>
      <c r="V31" s="49">
        <v>429.45634443500001</v>
      </c>
      <c r="W31" s="49">
        <v>404.68817190499999</v>
      </c>
      <c r="X31" s="49">
        <v>394.28517290499997</v>
      </c>
      <c r="Y31" s="92">
        <v>422.99420628000001</v>
      </c>
      <c r="Z31" s="92">
        <v>458.592770605</v>
      </c>
      <c r="AA31" s="92">
        <v>459.20398038500002</v>
      </c>
      <c r="AB31" s="92">
        <v>437.50175450500001</v>
      </c>
      <c r="AC31" s="92">
        <v>474.32753250500002</v>
      </c>
      <c r="AD31" s="92">
        <v>473.22574571500002</v>
      </c>
      <c r="AE31" s="92">
        <v>459.71868114</v>
      </c>
      <c r="AF31" s="92">
        <v>490.56828116499997</v>
      </c>
      <c r="AG31" s="92">
        <v>487.71735683999998</v>
      </c>
      <c r="AH31" s="69">
        <v>-5.8114730088737465E-3</v>
      </c>
      <c r="AI31" s="70">
        <v>-2.8509243249999938E-3</v>
      </c>
      <c r="AJ31" s="116">
        <v>5.2295113436707119E-2</v>
      </c>
      <c r="AK31" s="71">
        <v>0.1097199505361266</v>
      </c>
    </row>
    <row r="32" spans="1:37" x14ac:dyDescent="0.25">
      <c r="A32" s="15" t="s">
        <v>37</v>
      </c>
      <c r="B32" s="80">
        <v>0</v>
      </c>
      <c r="C32" s="81">
        <v>0</v>
      </c>
      <c r="D32" s="80">
        <v>0</v>
      </c>
      <c r="E32" s="80">
        <v>0</v>
      </c>
      <c r="F32" s="80">
        <v>0</v>
      </c>
      <c r="G32" s="80">
        <v>0</v>
      </c>
      <c r="H32" s="80">
        <v>0</v>
      </c>
      <c r="I32" s="80">
        <v>0</v>
      </c>
      <c r="J32" s="80">
        <v>0</v>
      </c>
      <c r="K32" s="80">
        <v>0</v>
      </c>
      <c r="L32" s="80">
        <v>0</v>
      </c>
      <c r="M32" s="80">
        <v>0</v>
      </c>
      <c r="N32" s="80">
        <v>0</v>
      </c>
      <c r="O32" s="80">
        <v>0</v>
      </c>
      <c r="P32" s="80">
        <v>0</v>
      </c>
      <c r="Q32" s="80">
        <v>0</v>
      </c>
      <c r="R32" s="80">
        <v>0</v>
      </c>
      <c r="S32" s="80">
        <v>0</v>
      </c>
      <c r="T32" s="80">
        <v>0</v>
      </c>
      <c r="U32" s="80">
        <v>0</v>
      </c>
      <c r="V32" s="80">
        <v>0</v>
      </c>
      <c r="W32" s="80">
        <v>0</v>
      </c>
      <c r="X32" s="80">
        <v>0</v>
      </c>
      <c r="Y32" s="82">
        <v>0</v>
      </c>
      <c r="Z32" s="82">
        <v>0</v>
      </c>
      <c r="AA32" s="82">
        <v>0</v>
      </c>
      <c r="AB32" s="82">
        <v>0</v>
      </c>
      <c r="AC32" s="82">
        <v>0</v>
      </c>
      <c r="AD32" s="82">
        <v>0</v>
      </c>
      <c r="AE32" s="82">
        <v>0</v>
      </c>
      <c r="AF32" s="82">
        <v>0</v>
      </c>
      <c r="AG32" s="82">
        <v>0</v>
      </c>
      <c r="AH32" s="69">
        <v>0</v>
      </c>
      <c r="AI32" s="70">
        <v>0</v>
      </c>
      <c r="AJ32" s="116">
        <v>0</v>
      </c>
      <c r="AK32" s="71">
        <v>0</v>
      </c>
    </row>
    <row r="33" spans="1:37" x14ac:dyDescent="0.25">
      <c r="A33" s="15" t="s">
        <v>23</v>
      </c>
      <c r="B33" s="80">
        <v>43.504232854000001</v>
      </c>
      <c r="C33" s="81">
        <v>49.992776535000004</v>
      </c>
      <c r="D33" s="80">
        <v>54.659955386</v>
      </c>
      <c r="E33" s="80">
        <v>49.652430573000004</v>
      </c>
      <c r="F33" s="80">
        <v>39.715756845000001</v>
      </c>
      <c r="G33" s="80">
        <v>38.454220788999997</v>
      </c>
      <c r="H33" s="80">
        <v>44.949231652999998</v>
      </c>
      <c r="I33" s="80">
        <v>39.541948781000002</v>
      </c>
      <c r="J33" s="80">
        <v>44.949040621999998</v>
      </c>
      <c r="K33" s="80">
        <v>38.197106024</v>
      </c>
      <c r="L33" s="80">
        <v>8.3521400769999996</v>
      </c>
      <c r="M33" s="80">
        <v>0.38500202699999997</v>
      </c>
      <c r="N33" s="80">
        <v>0.41918331699999994</v>
      </c>
      <c r="O33" s="80">
        <v>0.48493693599999999</v>
      </c>
      <c r="P33" s="80">
        <v>0.457333765</v>
      </c>
      <c r="Q33" s="80">
        <v>0.47659787600000003</v>
      </c>
      <c r="R33" s="80">
        <v>0.29361751899999999</v>
      </c>
      <c r="S33" s="80">
        <v>0.35728576400000001</v>
      </c>
      <c r="T33" s="80">
        <v>0.34404435799999999</v>
      </c>
      <c r="U33" s="80">
        <v>0.46151423400000002</v>
      </c>
      <c r="V33" s="80">
        <v>0.80977736499999997</v>
      </c>
      <c r="W33" s="80">
        <v>0.95130691899999997</v>
      </c>
      <c r="X33" s="80">
        <v>0.98155562100000004</v>
      </c>
      <c r="Y33" s="82">
        <v>1.0751767999999999</v>
      </c>
      <c r="Z33" s="82">
        <v>1.102947651</v>
      </c>
      <c r="AA33" s="82">
        <v>0.82997381299999984</v>
      </c>
      <c r="AB33" s="82">
        <v>0.83368586899999997</v>
      </c>
      <c r="AC33" s="82">
        <v>0.93037709400000002</v>
      </c>
      <c r="AD33" s="82">
        <v>0.82784957700000006</v>
      </c>
      <c r="AE33" s="82">
        <v>0.71840823200000004</v>
      </c>
      <c r="AF33" s="82">
        <v>0.76952496600000009</v>
      </c>
      <c r="AG33" s="82">
        <v>0.76952496600000009</v>
      </c>
      <c r="AH33" s="69">
        <v>0</v>
      </c>
      <c r="AI33" s="70">
        <v>0</v>
      </c>
      <c r="AJ33" s="116">
        <v>-0.98231149211198543</v>
      </c>
      <c r="AK33" s="71">
        <v>0.61462105634730113</v>
      </c>
    </row>
    <row r="34" spans="1:37" x14ac:dyDescent="0.25">
      <c r="A34" s="19" t="s">
        <v>46</v>
      </c>
      <c r="B34" s="50">
        <v>0</v>
      </c>
      <c r="C34" s="93">
        <v>0</v>
      </c>
      <c r="D34" s="50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33">
        <v>0</v>
      </c>
      <c r="Y34" s="73">
        <v>0</v>
      </c>
      <c r="Z34" s="33">
        <v>0</v>
      </c>
      <c r="AA34" s="33">
        <v>0</v>
      </c>
      <c r="AB34" s="33">
        <v>0</v>
      </c>
      <c r="AC34" s="33">
        <v>0</v>
      </c>
      <c r="AD34" s="33">
        <v>0</v>
      </c>
      <c r="AE34" s="33">
        <v>0</v>
      </c>
      <c r="AF34" s="33">
        <v>0</v>
      </c>
      <c r="AG34" s="33">
        <v>0</v>
      </c>
      <c r="AH34" s="69">
        <v>0</v>
      </c>
      <c r="AI34" s="70">
        <v>0</v>
      </c>
      <c r="AJ34" s="116">
        <v>0</v>
      </c>
      <c r="AK34" s="71">
        <v>0</v>
      </c>
    </row>
    <row r="35" spans="1:37" x14ac:dyDescent="0.25">
      <c r="A35" s="15" t="s">
        <v>47</v>
      </c>
      <c r="B35" s="94">
        <v>12.370462</v>
      </c>
      <c r="C35" s="94">
        <v>10.536440000000001</v>
      </c>
      <c r="D35" s="94">
        <v>9.3203659999999999</v>
      </c>
      <c r="E35" s="94">
        <v>7.0737140000000007</v>
      </c>
      <c r="F35" s="94">
        <v>9.251951</v>
      </c>
      <c r="G35" s="94">
        <v>5.6915100000000001</v>
      </c>
      <c r="H35" s="94">
        <v>11.612089000000001</v>
      </c>
      <c r="I35" s="94">
        <v>9.5040030000000009</v>
      </c>
      <c r="J35" s="94">
        <v>12.211181</v>
      </c>
      <c r="K35" s="94">
        <v>13.023834000000001</v>
      </c>
      <c r="L35" s="94">
        <v>15.288891</v>
      </c>
      <c r="M35" s="94">
        <v>12.625188000000001</v>
      </c>
      <c r="N35" s="94">
        <v>9.1551550000000006</v>
      </c>
      <c r="O35" s="94">
        <v>14.333803</v>
      </c>
      <c r="P35" s="94">
        <v>10.865877000000001</v>
      </c>
      <c r="Q35" s="94">
        <v>5.5934840000000001</v>
      </c>
      <c r="R35" s="94">
        <v>11.018274999999999</v>
      </c>
      <c r="S35" s="94">
        <v>9.6027509999999996</v>
      </c>
      <c r="T35" s="94">
        <v>6.6104620000000001</v>
      </c>
      <c r="U35" s="94">
        <v>12.071555</v>
      </c>
      <c r="V35" s="94">
        <v>10.576079</v>
      </c>
      <c r="W35" s="94">
        <v>6.7476979999999998</v>
      </c>
      <c r="X35" s="94">
        <v>6.0080260000000001</v>
      </c>
      <c r="Y35" s="95">
        <v>10.009983</v>
      </c>
      <c r="Z35" s="95">
        <v>14.416260999999999</v>
      </c>
      <c r="AA35" s="95">
        <v>12.703084</v>
      </c>
      <c r="AB35" s="95">
        <v>10.48381</v>
      </c>
      <c r="AC35" s="95">
        <v>16.453737</v>
      </c>
      <c r="AD35" s="95">
        <v>13.556711999999999</v>
      </c>
      <c r="AE35" s="95">
        <v>11.741171999999999</v>
      </c>
      <c r="AF35" s="95">
        <v>17.072213000000001</v>
      </c>
      <c r="AG35" s="94">
        <v>9.9001769999999993</v>
      </c>
      <c r="AH35" s="69">
        <v>-0.42009996009304718</v>
      </c>
      <c r="AI35" s="70">
        <v>-7.1720360000000023E-3</v>
      </c>
      <c r="AJ35" s="116">
        <v>-0.19969221844745977</v>
      </c>
      <c r="AK35" s="71">
        <v>0.76994821116856671</v>
      </c>
    </row>
    <row r="36" spans="1:37" ht="13" thickBot="1" x14ac:dyDescent="0.3">
      <c r="A36" s="96" t="s">
        <v>48</v>
      </c>
      <c r="B36" s="97">
        <v>2.1799140000000001</v>
      </c>
      <c r="C36" s="83">
        <v>2.6001449999999999</v>
      </c>
      <c r="D36" s="97">
        <v>1.84049</v>
      </c>
      <c r="E36" s="97">
        <v>1.7820119999999999</v>
      </c>
      <c r="F36" s="97">
        <v>2.6868689999999997</v>
      </c>
      <c r="G36" s="97">
        <v>1.6522030000000001</v>
      </c>
      <c r="H36" s="97">
        <v>2.5966050000000003</v>
      </c>
      <c r="I36" s="97">
        <v>1.990049</v>
      </c>
      <c r="J36" s="97">
        <v>2.4721090000000001</v>
      </c>
      <c r="K36" s="97">
        <v>3.2641960000000001</v>
      </c>
      <c r="L36" s="97">
        <v>3.5501550000000002</v>
      </c>
      <c r="M36" s="97">
        <v>2.0752969999999999</v>
      </c>
      <c r="N36" s="97">
        <v>1.3594489999999999</v>
      </c>
      <c r="O36" s="97">
        <v>2.5972819999999999</v>
      </c>
      <c r="P36" s="97">
        <v>1.9438930000000001</v>
      </c>
      <c r="Q36" s="97">
        <v>1.408666</v>
      </c>
      <c r="R36" s="97">
        <v>2.2995999999999999</v>
      </c>
      <c r="S36" s="97">
        <v>1.7549419999999998</v>
      </c>
      <c r="T36" s="97">
        <v>1.324187</v>
      </c>
      <c r="U36" s="97">
        <v>1.7777419999999999</v>
      </c>
      <c r="V36" s="97">
        <v>1.824848</v>
      </c>
      <c r="W36" s="97">
        <v>1.159969</v>
      </c>
      <c r="X36" s="97">
        <v>0.89457500000000001</v>
      </c>
      <c r="Y36" s="98">
        <v>1.4813780000000001</v>
      </c>
      <c r="Z36" s="98">
        <v>1.937592</v>
      </c>
      <c r="AA36" s="98">
        <v>1.867632</v>
      </c>
      <c r="AB36" s="98">
        <v>1.2445539999999999</v>
      </c>
      <c r="AC36" s="98">
        <v>1.42334</v>
      </c>
      <c r="AD36" s="98">
        <v>2.0152539999999997</v>
      </c>
      <c r="AE36" s="98">
        <v>1.8597899999999998</v>
      </c>
      <c r="AF36" s="98">
        <v>1.9576169999999999</v>
      </c>
      <c r="AG36" s="98">
        <v>1.4755510000000001</v>
      </c>
      <c r="AH36" s="69">
        <v>-0.24625143733426913</v>
      </c>
      <c r="AI36" s="70">
        <v>-4.8206599999999991E-4</v>
      </c>
      <c r="AJ36" s="116">
        <v>-0.32311504031810434</v>
      </c>
      <c r="AK36" s="71">
        <v>4.7481092040270845E-2</v>
      </c>
    </row>
    <row r="37" spans="1:37" ht="13" thickBot="1" x14ac:dyDescent="0.3">
      <c r="A37" s="17" t="s">
        <v>39</v>
      </c>
      <c r="B37" s="54">
        <v>0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4">
        <v>0</v>
      </c>
      <c r="O37" s="54">
        <v>0</v>
      </c>
      <c r="P37" s="54">
        <v>0</v>
      </c>
      <c r="Q37" s="54">
        <v>0</v>
      </c>
      <c r="R37" s="54">
        <v>0</v>
      </c>
      <c r="S37" s="54">
        <v>0</v>
      </c>
      <c r="T37" s="54">
        <v>0</v>
      </c>
      <c r="U37" s="54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69">
        <v>2.0686977012310814E-2</v>
      </c>
      <c r="AI37" s="70">
        <v>-0.10749273862940845</v>
      </c>
      <c r="AJ37" s="116">
        <v>0.12296889679046008</v>
      </c>
      <c r="AK37" s="71">
        <v>2.4347406420040629E-2</v>
      </c>
    </row>
    <row r="38" spans="1:37" x14ac:dyDescent="0.25">
      <c r="A38" s="15" t="s">
        <v>99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X38" s="97">
        <v>0</v>
      </c>
      <c r="Y38" s="97">
        <v>0</v>
      </c>
      <c r="Z38" s="97">
        <v>0</v>
      </c>
      <c r="AA38" s="97">
        <v>0</v>
      </c>
      <c r="AB38" s="97">
        <v>0</v>
      </c>
      <c r="AC38" s="97">
        <v>0</v>
      </c>
      <c r="AD38" s="97">
        <v>0</v>
      </c>
      <c r="AE38" s="97">
        <v>0</v>
      </c>
      <c r="AF38" s="97">
        <v>0</v>
      </c>
      <c r="AG38" s="97">
        <v>0</v>
      </c>
      <c r="AH38" s="69">
        <v>-4.9257288589706461E-2</v>
      </c>
      <c r="AI38" s="99">
        <v>-1.0052566564164422E-5</v>
      </c>
      <c r="AJ38" s="116">
        <v>-0.31255394611092202</v>
      </c>
      <c r="AK38" s="71">
        <v>-0.31551099002523852</v>
      </c>
    </row>
    <row r="39" spans="1:37" x14ac:dyDescent="0.25">
      <c r="A39" s="15" t="s">
        <v>100</v>
      </c>
      <c r="B39" s="94">
        <v>0</v>
      </c>
      <c r="C39" s="94">
        <v>0</v>
      </c>
      <c r="D39" s="94">
        <v>0</v>
      </c>
      <c r="E39" s="94">
        <v>0</v>
      </c>
      <c r="F39" s="94">
        <v>0</v>
      </c>
      <c r="G39" s="94">
        <v>0</v>
      </c>
      <c r="H39" s="94">
        <v>0</v>
      </c>
      <c r="I39" s="94">
        <v>0</v>
      </c>
      <c r="J39" s="94">
        <v>0</v>
      </c>
      <c r="K39" s="94">
        <v>0</v>
      </c>
      <c r="L39" s="94">
        <v>0</v>
      </c>
      <c r="M39" s="94">
        <v>0</v>
      </c>
      <c r="N39" s="94">
        <v>0</v>
      </c>
      <c r="O39" s="94">
        <v>0</v>
      </c>
      <c r="P39" s="94">
        <v>0</v>
      </c>
      <c r="Q39" s="94">
        <v>0</v>
      </c>
      <c r="R39" s="94">
        <v>0</v>
      </c>
      <c r="S39" s="94">
        <v>0</v>
      </c>
      <c r="T39" s="94">
        <v>0</v>
      </c>
      <c r="U39" s="94">
        <v>0</v>
      </c>
      <c r="V39" s="94">
        <v>0</v>
      </c>
      <c r="W39" s="94">
        <v>0</v>
      </c>
      <c r="X39" s="94">
        <v>0</v>
      </c>
      <c r="Y39" s="94">
        <v>0</v>
      </c>
      <c r="Z39" s="94">
        <v>0</v>
      </c>
      <c r="AA39" s="94">
        <v>0</v>
      </c>
      <c r="AB39" s="94">
        <v>0</v>
      </c>
      <c r="AC39" s="94">
        <v>0</v>
      </c>
      <c r="AD39" s="94">
        <v>0</v>
      </c>
      <c r="AE39" s="94">
        <v>0</v>
      </c>
      <c r="AF39" s="94">
        <v>0</v>
      </c>
      <c r="AG39" s="94">
        <v>0</v>
      </c>
      <c r="AH39" s="69">
        <v>-2.7333927301165239E-3</v>
      </c>
      <c r="AI39" s="70">
        <v>1.3544476409070739E-2</v>
      </c>
      <c r="AJ39" s="116">
        <v>3.6262417541124803E-2</v>
      </c>
      <c r="AK39" s="71">
        <v>-2.6183890528567066E-2</v>
      </c>
    </row>
    <row r="40" spans="1:37" x14ac:dyDescent="0.25">
      <c r="A40" s="15" t="s">
        <v>101</v>
      </c>
      <c r="B40" s="94">
        <v>0</v>
      </c>
      <c r="C40" s="94">
        <v>0</v>
      </c>
      <c r="D40" s="94">
        <v>0</v>
      </c>
      <c r="E40" s="94">
        <v>0</v>
      </c>
      <c r="F40" s="94">
        <v>0</v>
      </c>
      <c r="G40" s="94">
        <v>0</v>
      </c>
      <c r="H40" s="94">
        <v>0</v>
      </c>
      <c r="I40" s="94">
        <v>0</v>
      </c>
      <c r="J40" s="94">
        <v>0</v>
      </c>
      <c r="K40" s="94">
        <v>0</v>
      </c>
      <c r="L40" s="94">
        <v>0</v>
      </c>
      <c r="M40" s="94">
        <v>0</v>
      </c>
      <c r="N40" s="94">
        <v>0</v>
      </c>
      <c r="O40" s="94">
        <v>0</v>
      </c>
      <c r="P40" s="94">
        <v>0</v>
      </c>
      <c r="Q40" s="94">
        <v>0</v>
      </c>
      <c r="R40" s="94">
        <v>0</v>
      </c>
      <c r="S40" s="94">
        <v>0</v>
      </c>
      <c r="T40" s="94">
        <v>0</v>
      </c>
      <c r="U40" s="94">
        <v>0</v>
      </c>
      <c r="V40" s="94">
        <v>0</v>
      </c>
      <c r="W40" s="94">
        <v>0</v>
      </c>
      <c r="X40" s="94">
        <v>0</v>
      </c>
      <c r="Y40" s="94">
        <v>0</v>
      </c>
      <c r="Z40" s="94">
        <v>0</v>
      </c>
      <c r="AA40" s="94">
        <v>0</v>
      </c>
      <c r="AB40" s="94">
        <v>0</v>
      </c>
      <c r="AC40" s="94">
        <v>0</v>
      </c>
      <c r="AD40" s="94">
        <v>0</v>
      </c>
      <c r="AE40" s="94">
        <v>0</v>
      </c>
      <c r="AF40" s="94">
        <v>0</v>
      </c>
      <c r="AG40" s="94">
        <v>0</v>
      </c>
      <c r="AH40" s="69">
        <v>-1.8612184571942165</v>
      </c>
      <c r="AI40" s="70">
        <v>-0.10414192310915632</v>
      </c>
      <c r="AJ40" s="116">
        <v>-1.1305367426044217</v>
      </c>
      <c r="AK40" s="71">
        <v>-1.1101379467147436</v>
      </c>
    </row>
    <row r="41" spans="1:37" x14ac:dyDescent="0.25">
      <c r="A41" s="15" t="s">
        <v>102</v>
      </c>
      <c r="B41" s="94">
        <v>0</v>
      </c>
      <c r="C41" s="94">
        <v>0</v>
      </c>
      <c r="D41" s="94">
        <v>0</v>
      </c>
      <c r="E41" s="94">
        <v>0</v>
      </c>
      <c r="F41" s="94">
        <v>0</v>
      </c>
      <c r="G41" s="94">
        <v>0</v>
      </c>
      <c r="H41" s="94">
        <v>0</v>
      </c>
      <c r="I41" s="94">
        <v>0</v>
      </c>
      <c r="J41" s="94">
        <v>0</v>
      </c>
      <c r="K41" s="94">
        <v>0</v>
      </c>
      <c r="L41" s="94">
        <v>0</v>
      </c>
      <c r="M41" s="94">
        <v>0</v>
      </c>
      <c r="N41" s="94">
        <v>0</v>
      </c>
      <c r="O41" s="94">
        <v>0</v>
      </c>
      <c r="P41" s="94">
        <v>0</v>
      </c>
      <c r="Q41" s="94">
        <v>0</v>
      </c>
      <c r="R41" s="94">
        <v>0</v>
      </c>
      <c r="S41" s="94">
        <v>0</v>
      </c>
      <c r="T41" s="94">
        <v>0</v>
      </c>
      <c r="U41" s="94">
        <v>0</v>
      </c>
      <c r="V41" s="94">
        <v>0</v>
      </c>
      <c r="W41" s="94">
        <v>0</v>
      </c>
      <c r="X41" s="94">
        <v>0</v>
      </c>
      <c r="Y41" s="94">
        <v>0</v>
      </c>
      <c r="Z41" s="94">
        <v>0</v>
      </c>
      <c r="AA41" s="94">
        <v>0</v>
      </c>
      <c r="AB41" s="94">
        <v>0</v>
      </c>
      <c r="AC41" s="94">
        <v>0</v>
      </c>
      <c r="AD41" s="94">
        <v>0</v>
      </c>
      <c r="AE41" s="94">
        <v>0</v>
      </c>
      <c r="AF41" s="94">
        <v>0</v>
      </c>
      <c r="AG41" s="94">
        <v>0</v>
      </c>
      <c r="AH41" s="69">
        <v>-1.6016230801322973E-2</v>
      </c>
      <c r="AI41" s="70">
        <v>2.3375144296306589E-3</v>
      </c>
      <c r="AJ41" s="116">
        <v>1.3168782283710208</v>
      </c>
      <c r="AK41" s="71">
        <v>0.7749035043209318</v>
      </c>
    </row>
    <row r="42" spans="1:37" x14ac:dyDescent="0.25">
      <c r="A42" s="15" t="s">
        <v>103</v>
      </c>
      <c r="B42" s="94">
        <v>0</v>
      </c>
      <c r="C42" s="94">
        <v>0</v>
      </c>
      <c r="D42" s="94">
        <v>0</v>
      </c>
      <c r="E42" s="94">
        <v>0</v>
      </c>
      <c r="F42" s="94">
        <v>0</v>
      </c>
      <c r="G42" s="94">
        <v>0</v>
      </c>
      <c r="H42" s="94">
        <v>0</v>
      </c>
      <c r="I42" s="94">
        <v>0</v>
      </c>
      <c r="J42" s="94">
        <v>0</v>
      </c>
      <c r="K42" s="94">
        <v>0</v>
      </c>
      <c r="L42" s="94">
        <v>0</v>
      </c>
      <c r="M42" s="94">
        <v>0</v>
      </c>
      <c r="N42" s="94">
        <v>0</v>
      </c>
      <c r="O42" s="94">
        <v>0</v>
      </c>
      <c r="P42" s="94">
        <v>0</v>
      </c>
      <c r="Q42" s="94">
        <v>0</v>
      </c>
      <c r="R42" s="94">
        <v>0</v>
      </c>
      <c r="S42" s="94">
        <v>0</v>
      </c>
      <c r="T42" s="94">
        <v>0</v>
      </c>
      <c r="U42" s="94">
        <v>0</v>
      </c>
      <c r="V42" s="94">
        <v>0</v>
      </c>
      <c r="W42" s="94">
        <v>0</v>
      </c>
      <c r="X42" s="94">
        <v>0</v>
      </c>
      <c r="Y42" s="94">
        <v>0</v>
      </c>
      <c r="Z42" s="94">
        <v>0</v>
      </c>
      <c r="AA42" s="94">
        <v>0</v>
      </c>
      <c r="AB42" s="94">
        <v>0</v>
      </c>
      <c r="AC42" s="94">
        <v>0</v>
      </c>
      <c r="AD42" s="94">
        <v>0</v>
      </c>
      <c r="AE42" s="94">
        <v>0</v>
      </c>
      <c r="AF42" s="94">
        <v>0</v>
      </c>
      <c r="AG42" s="94">
        <v>0</v>
      </c>
      <c r="AH42" s="69">
        <v>-4.4379210131922697E-2</v>
      </c>
      <c r="AI42" s="70">
        <v>1.5909080920333319E-4</v>
      </c>
      <c r="AJ42" s="116">
        <v>-1.4376404038714194</v>
      </c>
      <c r="AK42" s="71">
        <v>-0.55640130218804873</v>
      </c>
    </row>
    <row r="43" spans="1:37" x14ac:dyDescent="0.25">
      <c r="A43" s="15" t="s">
        <v>104</v>
      </c>
      <c r="B43" s="94">
        <v>0</v>
      </c>
      <c r="C43" s="94">
        <v>0</v>
      </c>
      <c r="D43" s="94">
        <v>0</v>
      </c>
      <c r="E43" s="94">
        <v>0</v>
      </c>
      <c r="F43" s="94">
        <v>0</v>
      </c>
      <c r="G43" s="94">
        <v>0</v>
      </c>
      <c r="H43" s="94">
        <v>0</v>
      </c>
      <c r="I43" s="94">
        <v>0</v>
      </c>
      <c r="J43" s="94">
        <v>0</v>
      </c>
      <c r="K43" s="94">
        <v>0</v>
      </c>
      <c r="L43" s="94">
        <v>0</v>
      </c>
      <c r="M43" s="94">
        <v>0</v>
      </c>
      <c r="N43" s="94">
        <v>0</v>
      </c>
      <c r="O43" s="94">
        <v>0</v>
      </c>
      <c r="P43" s="94">
        <v>0</v>
      </c>
      <c r="Q43" s="94">
        <v>0</v>
      </c>
      <c r="R43" s="94">
        <v>0</v>
      </c>
      <c r="S43" s="94">
        <v>0</v>
      </c>
      <c r="T43" s="94">
        <v>0</v>
      </c>
      <c r="U43" s="94">
        <v>0</v>
      </c>
      <c r="V43" s="94">
        <v>0</v>
      </c>
      <c r="W43" s="94">
        <v>0</v>
      </c>
      <c r="X43" s="94">
        <v>0</v>
      </c>
      <c r="Y43" s="94">
        <v>0</v>
      </c>
      <c r="Z43" s="94">
        <v>0</v>
      </c>
      <c r="AA43" s="94">
        <v>0</v>
      </c>
      <c r="AB43" s="94">
        <v>0</v>
      </c>
      <c r="AC43" s="94">
        <v>0</v>
      </c>
      <c r="AD43" s="94">
        <v>0</v>
      </c>
      <c r="AE43" s="94">
        <v>0</v>
      </c>
      <c r="AF43" s="94">
        <v>0</v>
      </c>
      <c r="AG43" s="94">
        <v>0</v>
      </c>
      <c r="AH43" s="69">
        <v>-1.0616495372908208E-3</v>
      </c>
      <c r="AI43" s="70">
        <v>-1.052864060608556E-4</v>
      </c>
      <c r="AJ43" s="116">
        <v>0.53192543075490994</v>
      </c>
      <c r="AK43" s="71">
        <v>-2.6829280041429926E-2</v>
      </c>
    </row>
    <row r="44" spans="1:37" x14ac:dyDescent="0.25">
      <c r="A44" s="19" t="s">
        <v>105</v>
      </c>
      <c r="B44" s="94">
        <v>0</v>
      </c>
      <c r="C44" s="94">
        <v>0</v>
      </c>
      <c r="D44" s="94">
        <v>0</v>
      </c>
      <c r="E44" s="94">
        <v>0</v>
      </c>
      <c r="F44" s="94">
        <v>0</v>
      </c>
      <c r="G44" s="94">
        <v>0</v>
      </c>
      <c r="H44" s="94">
        <v>0</v>
      </c>
      <c r="I44" s="94">
        <v>0</v>
      </c>
      <c r="J44" s="94">
        <v>0</v>
      </c>
      <c r="K44" s="94">
        <v>0</v>
      </c>
      <c r="L44" s="94">
        <v>0</v>
      </c>
      <c r="M44" s="94">
        <v>0</v>
      </c>
      <c r="N44" s="94">
        <v>0</v>
      </c>
      <c r="O44" s="94">
        <v>0</v>
      </c>
      <c r="P44" s="94">
        <v>0</v>
      </c>
      <c r="Q44" s="94">
        <v>0</v>
      </c>
      <c r="R44" s="94">
        <v>0</v>
      </c>
      <c r="S44" s="94">
        <v>0</v>
      </c>
      <c r="T44" s="94">
        <v>0</v>
      </c>
      <c r="U44" s="94">
        <v>0</v>
      </c>
      <c r="V44" s="94">
        <v>0</v>
      </c>
      <c r="W44" s="94">
        <v>0</v>
      </c>
      <c r="X44" s="94">
        <v>0</v>
      </c>
      <c r="Y44" s="94">
        <v>0</v>
      </c>
      <c r="Z44" s="94">
        <v>0</v>
      </c>
      <c r="AA44" s="94">
        <v>0</v>
      </c>
      <c r="AB44" s="94">
        <v>0</v>
      </c>
      <c r="AC44" s="94">
        <v>0</v>
      </c>
      <c r="AD44" s="94">
        <v>0</v>
      </c>
      <c r="AE44" s="94">
        <v>0</v>
      </c>
      <c r="AF44" s="94">
        <v>0</v>
      </c>
      <c r="AG44" s="94">
        <v>0</v>
      </c>
      <c r="AH44" s="69">
        <v>-1.9073120715951797E-2</v>
      </c>
      <c r="AI44" s="70">
        <v>-3.2343611241179902E-5</v>
      </c>
      <c r="AJ44" s="116">
        <v>4.9416795845673649</v>
      </c>
      <c r="AK44" s="71">
        <v>-0.35648129234816872</v>
      </c>
    </row>
    <row r="45" spans="1:37" x14ac:dyDescent="0.25">
      <c r="A45" s="19" t="s">
        <v>106</v>
      </c>
      <c r="B45" s="94">
        <v>0</v>
      </c>
      <c r="C45" s="94">
        <v>0</v>
      </c>
      <c r="D45" s="94">
        <v>0</v>
      </c>
      <c r="E45" s="94">
        <v>0</v>
      </c>
      <c r="F45" s="94">
        <v>0</v>
      </c>
      <c r="G45" s="94">
        <v>0</v>
      </c>
      <c r="H45" s="94">
        <v>0</v>
      </c>
      <c r="I45" s="94">
        <v>0</v>
      </c>
      <c r="J45" s="94">
        <v>0</v>
      </c>
      <c r="K45" s="94">
        <v>0</v>
      </c>
      <c r="L45" s="94">
        <v>0</v>
      </c>
      <c r="M45" s="94">
        <v>0</v>
      </c>
      <c r="N45" s="94">
        <v>0</v>
      </c>
      <c r="O45" s="94">
        <v>0</v>
      </c>
      <c r="P45" s="94">
        <v>0</v>
      </c>
      <c r="Q45" s="94">
        <v>0</v>
      </c>
      <c r="R45" s="94">
        <v>0</v>
      </c>
      <c r="S45" s="94">
        <v>0</v>
      </c>
      <c r="T45" s="94">
        <v>0</v>
      </c>
      <c r="U45" s="94">
        <v>0</v>
      </c>
      <c r="V45" s="94">
        <v>0</v>
      </c>
      <c r="W45" s="94">
        <v>0</v>
      </c>
      <c r="X45" s="94">
        <v>0</v>
      </c>
      <c r="Y45" s="94">
        <v>0</v>
      </c>
      <c r="Z45" s="94">
        <v>0</v>
      </c>
      <c r="AA45" s="94">
        <v>0</v>
      </c>
      <c r="AB45" s="94">
        <v>0</v>
      </c>
      <c r="AC45" s="94">
        <v>0</v>
      </c>
      <c r="AD45" s="94">
        <v>0</v>
      </c>
      <c r="AE45" s="94">
        <v>0</v>
      </c>
      <c r="AF45" s="94">
        <v>0</v>
      </c>
      <c r="AG45" s="94">
        <v>0</v>
      </c>
      <c r="AH45" s="69">
        <v>7.7453677036533053E-2</v>
      </c>
      <c r="AI45" s="70">
        <v>-1.9244214584290688E-2</v>
      </c>
      <c r="AJ45" s="116">
        <v>-0.19942469180651567</v>
      </c>
      <c r="AK45" s="71">
        <v>-0.5190627778048813</v>
      </c>
    </row>
    <row r="46" spans="1:37" ht="13" thickBot="1" x14ac:dyDescent="0.3">
      <c r="A46" s="16" t="s">
        <v>107</v>
      </c>
      <c r="B46" s="84">
        <v>0</v>
      </c>
      <c r="C46" s="84">
        <v>0</v>
      </c>
      <c r="D46" s="84">
        <v>0</v>
      </c>
      <c r="E46" s="84">
        <v>0</v>
      </c>
      <c r="F46" s="84">
        <v>0</v>
      </c>
      <c r="G46" s="84">
        <v>0</v>
      </c>
      <c r="H46" s="84">
        <v>0</v>
      </c>
      <c r="I46" s="84">
        <v>0</v>
      </c>
      <c r="J46" s="84">
        <v>0</v>
      </c>
      <c r="K46" s="84">
        <v>0</v>
      </c>
      <c r="L46" s="84">
        <v>0</v>
      </c>
      <c r="M46" s="84">
        <v>0</v>
      </c>
      <c r="N46" s="84">
        <v>0</v>
      </c>
      <c r="O46" s="84">
        <v>0</v>
      </c>
      <c r="P46" s="84">
        <v>0</v>
      </c>
      <c r="Q46" s="84">
        <v>0</v>
      </c>
      <c r="R46" s="84">
        <v>0</v>
      </c>
      <c r="S46" s="84">
        <v>0</v>
      </c>
      <c r="T46" s="84">
        <v>0</v>
      </c>
      <c r="U46" s="84">
        <v>0</v>
      </c>
      <c r="V46" s="84">
        <v>0</v>
      </c>
      <c r="W46" s="84">
        <v>0</v>
      </c>
      <c r="X46" s="84">
        <v>0</v>
      </c>
      <c r="Y46" s="84">
        <v>0</v>
      </c>
      <c r="Z46" s="84">
        <v>0</v>
      </c>
      <c r="AA46" s="84">
        <v>0</v>
      </c>
      <c r="AB46" s="84">
        <v>0</v>
      </c>
      <c r="AC46" s="84">
        <v>0</v>
      </c>
      <c r="AD46" s="84">
        <v>0</v>
      </c>
      <c r="AE46" s="84">
        <v>0</v>
      </c>
      <c r="AF46" s="84">
        <v>0</v>
      </c>
      <c r="AG46" s="84">
        <v>0</v>
      </c>
      <c r="AH46" s="69">
        <v>0</v>
      </c>
      <c r="AI46" s="100">
        <v>0</v>
      </c>
      <c r="AJ46" s="116">
        <v>0</v>
      </c>
      <c r="AK46" s="71">
        <v>0</v>
      </c>
    </row>
    <row r="47" spans="1:37" x14ac:dyDescent="0.25">
      <c r="A47" s="14" t="s">
        <v>40</v>
      </c>
      <c r="B47" s="101">
        <v>2533.5835343566196</v>
      </c>
      <c r="C47" s="102">
        <v>2559.0470462030198</v>
      </c>
      <c r="D47" s="101">
        <v>2580.0960053918102</v>
      </c>
      <c r="E47" s="101">
        <v>2600.8672584041096</v>
      </c>
      <c r="F47" s="101">
        <v>2698.0616406242007</v>
      </c>
      <c r="G47" s="101">
        <v>2749.9221008202298</v>
      </c>
      <c r="H47" s="101">
        <v>2813.5428910669598</v>
      </c>
      <c r="I47" s="101">
        <v>2879.2046197385098</v>
      </c>
      <c r="J47" s="101">
        <v>2888.4613392917499</v>
      </c>
      <c r="K47" s="101">
        <v>2952.3667698475001</v>
      </c>
      <c r="L47" s="101">
        <v>2928.8774618660004</v>
      </c>
      <c r="M47" s="101">
        <v>2932.3228876070002</v>
      </c>
      <c r="N47" s="101">
        <v>2945.3258859575003</v>
      </c>
      <c r="O47" s="101">
        <v>2787.9539492189997</v>
      </c>
      <c r="P47" s="101">
        <v>2548.8555057194999</v>
      </c>
      <c r="Q47" s="101">
        <v>2709.1487514185005</v>
      </c>
      <c r="R47" s="101">
        <v>2841.9918232892496</v>
      </c>
      <c r="S47" s="101">
        <v>2952.8155516527499</v>
      </c>
      <c r="T47" s="101">
        <v>2888.2493022990002</v>
      </c>
      <c r="U47" s="101">
        <v>3379.3986923025</v>
      </c>
      <c r="V47" s="101">
        <v>3091.8833783675</v>
      </c>
      <c r="W47" s="101">
        <v>3138.8330877702497</v>
      </c>
      <c r="X47" s="101">
        <v>3303.3974660767499</v>
      </c>
      <c r="Y47" s="103">
        <v>2789.187664951</v>
      </c>
      <c r="Z47" s="103">
        <v>2782.1224066070004</v>
      </c>
      <c r="AA47" s="103">
        <v>2935.8160688810499</v>
      </c>
      <c r="AB47" s="103">
        <v>2892.6920860332502</v>
      </c>
      <c r="AC47" s="103">
        <v>2667.7014166147496</v>
      </c>
      <c r="AD47" s="103">
        <v>2351.0586446267498</v>
      </c>
      <c r="AE47" s="103">
        <v>2409.0907631252503</v>
      </c>
      <c r="AF47" s="103">
        <v>2359.5734713950005</v>
      </c>
      <c r="AG47" s="103">
        <v>2270.9210628315</v>
      </c>
      <c r="AH47" s="69">
        <v>-3.7571370265952586E-2</v>
      </c>
      <c r="AI47" s="70">
        <v>-8.8652408563500554E-2</v>
      </c>
      <c r="AJ47" s="116">
        <v>-0.10367231550224787</v>
      </c>
      <c r="AK47" s="71">
        <v>-0.16175844473565582</v>
      </c>
    </row>
    <row r="48" spans="1:37" x14ac:dyDescent="0.25">
      <c r="A48" s="15" t="s">
        <v>24</v>
      </c>
      <c r="B48" s="29">
        <v>1309.8744735999999</v>
      </c>
      <c r="C48" s="79">
        <v>1390.5741249679998</v>
      </c>
      <c r="D48" s="29">
        <v>1476.1445176239999</v>
      </c>
      <c r="E48" s="29">
        <v>1554.4663308439997</v>
      </c>
      <c r="F48" s="29">
        <v>1634.7825514720003</v>
      </c>
      <c r="G48" s="29">
        <v>1721.929646668</v>
      </c>
      <c r="H48" s="29">
        <v>1805.6090469479998</v>
      </c>
      <c r="I48" s="29">
        <v>1880.6880836800001</v>
      </c>
      <c r="J48" s="29">
        <v>1961.139707324</v>
      </c>
      <c r="K48" s="29">
        <v>2063.17879404</v>
      </c>
      <c r="L48" s="29">
        <v>2085.7752630680002</v>
      </c>
      <c r="M48" s="29">
        <v>2132.5116282960003</v>
      </c>
      <c r="N48" s="29">
        <v>2166.6464136519999</v>
      </c>
      <c r="O48" s="29">
        <v>2031.802324216</v>
      </c>
      <c r="P48" s="29">
        <v>1813.9990361360001</v>
      </c>
      <c r="Q48" s="29">
        <v>1990.5476213840002</v>
      </c>
      <c r="R48" s="29">
        <v>2099.8403765919998</v>
      </c>
      <c r="S48" s="29">
        <v>2163.6160185919998</v>
      </c>
      <c r="T48" s="29">
        <v>2138.7198274679999</v>
      </c>
      <c r="U48" s="29">
        <v>2589.875344308</v>
      </c>
      <c r="V48" s="29">
        <v>2333.1600846679999</v>
      </c>
      <c r="W48" s="29">
        <v>2400.7440938879995</v>
      </c>
      <c r="X48" s="29">
        <v>2605.0744635439996</v>
      </c>
      <c r="Y48" s="72">
        <v>2161.4337645320002</v>
      </c>
      <c r="Z48" s="72">
        <v>2115.5214874080002</v>
      </c>
      <c r="AA48" s="72">
        <v>2239.0031476119998</v>
      </c>
      <c r="AB48" s="72">
        <v>2205.8100422960001</v>
      </c>
      <c r="AC48" s="72">
        <v>1975.2940019399998</v>
      </c>
      <c r="AD48" s="72">
        <v>1686.5709259560003</v>
      </c>
      <c r="AE48" s="72">
        <v>1743.6635364400001</v>
      </c>
      <c r="AF48" s="72">
        <v>1677.6573286760001</v>
      </c>
      <c r="AG48" s="72">
        <v>1619.6935539680001</v>
      </c>
      <c r="AH48" s="69">
        <v>-3.4550425594805367E-2</v>
      </c>
      <c r="AI48" s="70">
        <v>-5.7963774708000071E-2</v>
      </c>
      <c r="AJ48" s="116">
        <v>0.23652577908210359</v>
      </c>
      <c r="AK48" s="71">
        <v>-0.18630755849897751</v>
      </c>
    </row>
    <row r="49" spans="1:37" x14ac:dyDescent="0.25">
      <c r="A49" s="15" t="s">
        <v>112</v>
      </c>
      <c r="B49" s="33">
        <v>43.396758390000002</v>
      </c>
      <c r="C49" s="74">
        <v>37.683436790000002</v>
      </c>
      <c r="D49" s="33">
        <v>13.197772790000002</v>
      </c>
      <c r="E49" s="33">
        <v>14.266980329999999</v>
      </c>
      <c r="F49" s="33">
        <v>14.266980329999999</v>
      </c>
      <c r="G49" s="33">
        <v>12.799717551000001</v>
      </c>
      <c r="H49" s="33">
        <v>12.799717551000001</v>
      </c>
      <c r="I49" s="33">
        <v>7.1132486440000005</v>
      </c>
      <c r="J49" s="33">
        <v>8.104672893</v>
      </c>
      <c r="K49" s="33">
        <v>2.0093752949999999</v>
      </c>
      <c r="L49" s="33">
        <v>3.9830012130000005</v>
      </c>
      <c r="M49" s="33">
        <v>6.6283510259999998</v>
      </c>
      <c r="N49" s="33">
        <v>11.541900582999999</v>
      </c>
      <c r="O49" s="33">
        <v>16.489763980999999</v>
      </c>
      <c r="P49" s="33">
        <v>19.475570762</v>
      </c>
      <c r="Q49" s="33">
        <v>22.575399919000002</v>
      </c>
      <c r="R49" s="33">
        <v>24.112312190000001</v>
      </c>
      <c r="S49" s="33">
        <v>29.277034346999997</v>
      </c>
      <c r="T49" s="33">
        <v>47.113562861000005</v>
      </c>
      <c r="U49" s="33">
        <v>107.81943296699998</v>
      </c>
      <c r="V49" s="33">
        <v>102.95294627200001</v>
      </c>
      <c r="W49" s="33">
        <v>98.260085040000007</v>
      </c>
      <c r="X49" s="33">
        <v>89.990922008000013</v>
      </c>
      <c r="Y49" s="73">
        <v>85.462483583999997</v>
      </c>
      <c r="Z49" s="73">
        <v>118.60642018000001</v>
      </c>
      <c r="AA49" s="73">
        <v>140.17074359200001</v>
      </c>
      <c r="AB49" s="73">
        <v>123.0815556</v>
      </c>
      <c r="AC49" s="73">
        <v>120.54631032</v>
      </c>
      <c r="AD49" s="73">
        <v>92.034145824000007</v>
      </c>
      <c r="AE49" s="73">
        <v>108.21149947199999</v>
      </c>
      <c r="AF49" s="73">
        <v>123.357535584</v>
      </c>
      <c r="AG49" s="73">
        <v>124.32153672000001</v>
      </c>
      <c r="AH49" s="69">
        <v>7.8146919151409477E-3</v>
      </c>
      <c r="AI49" s="70">
        <v>9.640011360000074E-4</v>
      </c>
      <c r="AJ49" s="116">
        <v>1.8647655108877363</v>
      </c>
      <c r="AK49" s="71">
        <v>4.5069472596748108</v>
      </c>
    </row>
    <row r="50" spans="1:37" x14ac:dyDescent="0.25">
      <c r="A50" s="15" t="s">
        <v>25</v>
      </c>
      <c r="B50" s="80">
        <v>23.560120130119998</v>
      </c>
      <c r="C50" s="81">
        <v>24.805336063519999</v>
      </c>
      <c r="D50" s="80">
        <v>33.978884962560002</v>
      </c>
      <c r="E50" s="80">
        <v>28.447409278359999</v>
      </c>
      <c r="F50" s="80">
        <v>25.303568626200001</v>
      </c>
      <c r="G50" s="80">
        <v>26.400608203480001</v>
      </c>
      <c r="H50" s="80">
        <v>33.707846022959998</v>
      </c>
      <c r="I50" s="80">
        <v>36.113593565759999</v>
      </c>
      <c r="J50" s="80">
        <v>27.773528088999996</v>
      </c>
      <c r="K50" s="80">
        <v>37.121121974000005</v>
      </c>
      <c r="L50" s="80">
        <v>28.748708124000004</v>
      </c>
      <c r="M50" s="80">
        <v>36.167084524999993</v>
      </c>
      <c r="N50" s="80">
        <v>27.318936998000002</v>
      </c>
      <c r="O50" s="80">
        <v>27.005716522</v>
      </c>
      <c r="P50" s="80">
        <v>25.287647065999998</v>
      </c>
      <c r="Q50" s="80">
        <v>25.218842831000003</v>
      </c>
      <c r="R50" s="80">
        <v>25.626753447999999</v>
      </c>
      <c r="S50" s="80">
        <v>38.343326799000003</v>
      </c>
      <c r="T50" s="80">
        <v>41.721308141999998</v>
      </c>
      <c r="U50" s="80">
        <v>32.508576355999999</v>
      </c>
      <c r="V50" s="80">
        <v>34.043749090000006</v>
      </c>
      <c r="W50" s="80">
        <v>30.300292806000002</v>
      </c>
      <c r="X50" s="80">
        <v>28.196453751</v>
      </c>
      <c r="Y50" s="82">
        <v>30.537879883000002</v>
      </c>
      <c r="Z50" s="82">
        <v>29.607907073999996</v>
      </c>
      <c r="AA50" s="82">
        <v>26.162610524000002</v>
      </c>
      <c r="AB50" s="82">
        <v>26.653481963000001</v>
      </c>
      <c r="AC50" s="82">
        <v>28.369581414999999</v>
      </c>
      <c r="AD50" s="82">
        <v>24.335753654999998</v>
      </c>
      <c r="AE50" s="82">
        <v>29.446285990999996</v>
      </c>
      <c r="AF50" s="82">
        <v>25.533342406000003</v>
      </c>
      <c r="AG50" s="82">
        <v>25.533342433999998</v>
      </c>
      <c r="AH50" s="69">
        <v>1.0966052510497093E-9</v>
      </c>
      <c r="AI50" s="70">
        <v>2.799999521130303E-11</v>
      </c>
      <c r="AJ50" s="116">
        <v>8.3752641878823475E-2</v>
      </c>
      <c r="AK50" s="71">
        <v>1.2470818154011409E-2</v>
      </c>
    </row>
    <row r="51" spans="1:37" x14ac:dyDescent="0.25">
      <c r="A51" s="15" t="s">
        <v>113</v>
      </c>
      <c r="B51" s="33">
        <v>1123.8780213365001</v>
      </c>
      <c r="C51" s="33">
        <v>1074.5353453175001</v>
      </c>
      <c r="D51" s="33">
        <v>1027.25822404325</v>
      </c>
      <c r="E51" s="33">
        <v>976.38677883574996</v>
      </c>
      <c r="F51" s="33">
        <v>1000.3370143400001</v>
      </c>
      <c r="G51" s="33">
        <v>968.81556286574994</v>
      </c>
      <c r="H51" s="33">
        <v>944.3006467890001</v>
      </c>
      <c r="I51" s="33">
        <v>942.55482308474996</v>
      </c>
      <c r="J51" s="33">
        <v>883.87386478575002</v>
      </c>
      <c r="K51" s="33">
        <v>842.76410968650009</v>
      </c>
      <c r="L51" s="33">
        <v>803.76488136099999</v>
      </c>
      <c r="M51" s="33">
        <v>750.47773007199987</v>
      </c>
      <c r="N51" s="33">
        <v>733.40381156850003</v>
      </c>
      <c r="O51" s="33">
        <v>706.18160859999989</v>
      </c>
      <c r="P51" s="33">
        <v>683.51605097149991</v>
      </c>
      <c r="Q51" s="33">
        <v>664.53371226449997</v>
      </c>
      <c r="R51" s="33">
        <v>686.55447249924998</v>
      </c>
      <c r="S51" s="33">
        <v>715.92898586274987</v>
      </c>
      <c r="T51" s="33">
        <v>655.04441777600005</v>
      </c>
      <c r="U51" s="33">
        <v>647.86874307949995</v>
      </c>
      <c r="V51" s="33">
        <v>621.61285494549998</v>
      </c>
      <c r="W51" s="33">
        <v>609.41915336825002</v>
      </c>
      <c r="X51" s="33">
        <v>580.02595945374992</v>
      </c>
      <c r="Y51" s="73">
        <v>511.66564366400007</v>
      </c>
      <c r="Z51" s="33">
        <v>518.296036921</v>
      </c>
      <c r="AA51" s="33">
        <v>530.38268824505008</v>
      </c>
      <c r="AB51" s="33">
        <v>537.04867459825005</v>
      </c>
      <c r="AC51" s="33">
        <v>543.39319139174995</v>
      </c>
      <c r="AD51" s="33">
        <v>548.01948764374993</v>
      </c>
      <c r="AE51" s="33">
        <v>527.67080929024996</v>
      </c>
      <c r="AF51" s="33">
        <v>532.93120130500006</v>
      </c>
      <c r="AG51" s="33">
        <v>501.27856628550001</v>
      </c>
      <c r="AH51" s="69">
        <v>-5.9393473195023194E-2</v>
      </c>
      <c r="AI51" s="70">
        <v>-3.1652635019500053E-2</v>
      </c>
      <c r="AJ51" s="116">
        <v>-0.55397422427623733</v>
      </c>
      <c r="AK51" s="71">
        <v>-0.24566871923274314</v>
      </c>
    </row>
    <row r="52" spans="1:37" ht="13" thickBot="1" x14ac:dyDescent="0.3">
      <c r="A52" s="15" t="s">
        <v>44</v>
      </c>
      <c r="B52" s="104">
        <v>32.8741609</v>
      </c>
      <c r="C52" s="105">
        <v>31.448803063999996</v>
      </c>
      <c r="D52" s="104">
        <v>29.516605971999997</v>
      </c>
      <c r="E52" s="104">
        <v>27.299759115999997</v>
      </c>
      <c r="F52" s="104">
        <v>23.371525856000002</v>
      </c>
      <c r="G52" s="104">
        <v>19.976565532000002</v>
      </c>
      <c r="H52" s="104">
        <v>17.125633755999999</v>
      </c>
      <c r="I52" s="104">
        <v>12.734870764000002</v>
      </c>
      <c r="J52" s="104">
        <v>7.5695662000000006</v>
      </c>
      <c r="K52" s="104">
        <v>7.2933688520000004</v>
      </c>
      <c r="L52" s="104">
        <v>6.6056081000000004</v>
      </c>
      <c r="M52" s="104">
        <v>6.5380936880000009</v>
      </c>
      <c r="N52" s="104">
        <v>6.4148231559999997</v>
      </c>
      <c r="O52" s="104">
        <v>6.4745359000000002</v>
      </c>
      <c r="P52" s="104">
        <v>6.5772007840000004</v>
      </c>
      <c r="Q52" s="104">
        <v>6.27317502</v>
      </c>
      <c r="R52" s="104">
        <v>5.8579085599999994</v>
      </c>
      <c r="S52" s="104">
        <v>5.6501860519999996</v>
      </c>
      <c r="T52" s="104">
        <v>5.6501860520000005</v>
      </c>
      <c r="U52" s="104">
        <v>1.3265955919999999</v>
      </c>
      <c r="V52" s="104">
        <v>0.11374339200000001</v>
      </c>
      <c r="W52" s="104">
        <v>0.109462668</v>
      </c>
      <c r="X52" s="104">
        <v>0.10966731999999998</v>
      </c>
      <c r="Y52" s="106">
        <v>8.7893287999999986E-2</v>
      </c>
      <c r="Z52" s="106">
        <v>9.0555024000000012E-2</v>
      </c>
      <c r="AA52" s="106">
        <v>9.6878908E-2</v>
      </c>
      <c r="AB52" s="106">
        <v>9.8331576000000004E-2</v>
      </c>
      <c r="AC52" s="106">
        <v>9.8331547999999991E-2</v>
      </c>
      <c r="AD52" s="106">
        <v>9.8331548000000005E-2</v>
      </c>
      <c r="AE52" s="106">
        <v>9.8631932000000005E-2</v>
      </c>
      <c r="AF52" s="106">
        <v>9.406342400000002E-2</v>
      </c>
      <c r="AG52" s="106">
        <v>9.4063424000000007E-2</v>
      </c>
      <c r="AH52" s="69">
        <v>-1.1102230246251565E-16</v>
      </c>
      <c r="AI52" s="70">
        <v>-1.3877787807814457E-20</v>
      </c>
      <c r="AJ52" s="116">
        <v>-0.99713868213135137</v>
      </c>
      <c r="AK52" s="71">
        <v>-0.98500545199199618</v>
      </c>
    </row>
    <row r="53" spans="1:37" ht="13" thickBot="1" x14ac:dyDescent="0.3">
      <c r="A53" s="17" t="s">
        <v>41</v>
      </c>
      <c r="B53" s="107">
        <v>0</v>
      </c>
      <c r="C53" s="108">
        <v>0</v>
      </c>
      <c r="D53" s="107">
        <v>0</v>
      </c>
      <c r="E53" s="107">
        <v>0</v>
      </c>
      <c r="F53" s="107">
        <v>0</v>
      </c>
      <c r="G53" s="107">
        <v>0</v>
      </c>
      <c r="H53" s="107">
        <v>0</v>
      </c>
      <c r="I53" s="107">
        <v>0</v>
      </c>
      <c r="J53" s="107">
        <v>0</v>
      </c>
      <c r="K53" s="107">
        <v>0</v>
      </c>
      <c r="L53" s="107">
        <v>0</v>
      </c>
      <c r="M53" s="107">
        <v>0</v>
      </c>
      <c r="N53" s="107">
        <v>0</v>
      </c>
      <c r="O53" s="107">
        <v>0</v>
      </c>
      <c r="P53" s="107">
        <v>0</v>
      </c>
      <c r="Q53" s="107">
        <v>0</v>
      </c>
      <c r="R53" s="107">
        <v>0</v>
      </c>
      <c r="S53" s="107">
        <v>0</v>
      </c>
      <c r="T53" s="107">
        <v>0</v>
      </c>
      <c r="U53" s="107">
        <v>0</v>
      </c>
      <c r="V53" s="107">
        <v>0</v>
      </c>
      <c r="W53" s="107">
        <v>0</v>
      </c>
      <c r="X53" s="107">
        <v>0</v>
      </c>
      <c r="Y53" s="109">
        <v>0</v>
      </c>
      <c r="Z53" s="109">
        <v>0</v>
      </c>
      <c r="AA53" s="109">
        <v>0</v>
      </c>
      <c r="AB53" s="109">
        <v>0</v>
      </c>
      <c r="AC53" s="109">
        <v>0</v>
      </c>
      <c r="AD53" s="109">
        <v>0</v>
      </c>
      <c r="AE53" s="109">
        <v>0</v>
      </c>
      <c r="AF53" s="109">
        <v>0</v>
      </c>
      <c r="AG53" s="109">
        <v>0</v>
      </c>
      <c r="AH53" s="69">
        <v>0</v>
      </c>
      <c r="AI53" s="70">
        <v>0</v>
      </c>
      <c r="AJ53" s="116">
        <v>0</v>
      </c>
      <c r="AK53" s="71">
        <v>0</v>
      </c>
    </row>
    <row r="54" spans="1:37" x14ac:dyDescent="0.25">
      <c r="A54" s="110"/>
      <c r="B54" s="111"/>
      <c r="C54" s="112"/>
    </row>
  </sheetData>
  <mergeCells count="36">
    <mergeCell ref="X5:X6"/>
    <mergeCell ref="AF5:AF6"/>
    <mergeCell ref="AG5:AG6"/>
    <mergeCell ref="Z5:Z6"/>
    <mergeCell ref="AA5:AA6"/>
    <mergeCell ref="AB5:AB6"/>
    <mergeCell ref="AC5:AC6"/>
    <mergeCell ref="AD5:AD6"/>
    <mergeCell ref="AE5:AE6"/>
    <mergeCell ref="H5:H6"/>
    <mergeCell ref="I5:I6"/>
    <mergeCell ref="J5:J6"/>
    <mergeCell ref="K5:K6"/>
    <mergeCell ref="L5:L6"/>
    <mergeCell ref="M5:M6"/>
    <mergeCell ref="AH5:AH6"/>
    <mergeCell ref="AI5:AI6"/>
    <mergeCell ref="AJ5:AJ6"/>
    <mergeCell ref="AK5:AK6"/>
    <mergeCell ref="Y5:Y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G5:G6"/>
    <mergeCell ref="B5:B6"/>
    <mergeCell ref="C5:C6"/>
    <mergeCell ref="D5:D6"/>
    <mergeCell ref="E5:E6"/>
    <mergeCell ref="F5:F6"/>
  </mergeCells>
  <printOptions horizontalCentered="1"/>
  <pageMargins left="0.39374999999999999" right="0.39374999999999999" top="0.98402777777777772" bottom="0.78749999999999998" header="0.59027777777777779" footer="0.39374999999999999"/>
  <pageSetup paperSize="9" scale="20" firstPageNumber="0" orientation="portrait" horizontalDpi="300" verticalDpi="300" r:id="rId1"/>
  <headerFooter alignWithMargins="0">
    <oddHeader>&amp;C&amp;"Times New Roman,Negrita"&amp;12INVENTARIO NACIONAL DE EMISIONES DE CONTAMINANTES A LA ATMÓSFERA</oddHeader>
    <oddFooter>&amp;L&amp;"Times New Roman,Normal"Fuente: Subdirección General de Calidad Ambiental. Ministerio de Medio Ambiente&amp;R&amp;"Times New Roman,Normal"Actualizado a 13/03/2008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0"/>
  <sheetViews>
    <sheetView topLeftCell="A4" zoomScale="78" zoomScaleNormal="78" workbookViewId="0">
      <selection activeCell="A7" sqref="A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9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9" ht="15.5" x14ac:dyDescent="0.35">
      <c r="A2" s="5"/>
      <c r="B2" s="3"/>
      <c r="C2" s="3"/>
      <c r="D2" s="3"/>
      <c r="E2" s="3"/>
      <c r="F2" s="3"/>
      <c r="G2" s="3"/>
      <c r="H2" s="6" t="s">
        <v>114</v>
      </c>
    </row>
    <row r="3" spans="1:9" ht="15.5" x14ac:dyDescent="0.35">
      <c r="A3" s="2"/>
      <c r="B3" s="3"/>
      <c r="C3" s="3"/>
      <c r="D3" s="3"/>
      <c r="E3" s="3"/>
      <c r="F3" s="3"/>
      <c r="G3" s="3"/>
      <c r="H3" s="7"/>
    </row>
    <row r="4" spans="1:9" ht="16" thickBot="1" x14ac:dyDescent="0.4">
      <c r="A4" s="8"/>
      <c r="B4" s="3"/>
      <c r="C4" s="3"/>
      <c r="D4" s="3"/>
      <c r="E4" s="3"/>
      <c r="F4" s="3"/>
      <c r="G4" s="3"/>
      <c r="H4" s="9"/>
    </row>
    <row r="5" spans="1:9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9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9" ht="24" thickTop="1" thickBot="1" x14ac:dyDescent="0.3">
      <c r="A7" s="202" t="s">
        <v>116</v>
      </c>
      <c r="B7" s="203">
        <f>SUM(B8,B18,B27,B37,B47,B53)</f>
        <v>32546.52347130132</v>
      </c>
      <c r="C7" s="203">
        <f>SUM(C8,C18,C27,C37,C47,C53)</f>
        <v>5668.4137445476317</v>
      </c>
      <c r="D7" s="203">
        <f>SUM(D8,D18,D27,D37,D47,D53)</f>
        <v>1318.1102510617166</v>
      </c>
      <c r="E7" s="203">
        <f>SUM(E8,E18,E27,E37,E47,E53)</f>
        <v>817.24691849010526</v>
      </c>
      <c r="F7" s="203">
        <f>SUM(F8,F18,F27,F37,F47,F53)</f>
        <v>3.7283757032999993</v>
      </c>
      <c r="G7" s="203">
        <f>SUM(G8,G18,G27,G37,G47,G53)</f>
        <v>42.183761879500004</v>
      </c>
      <c r="H7" s="204">
        <f>SUM(B7:G7)</f>
        <v>40396.206522983572</v>
      </c>
    </row>
    <row r="8" spans="1:9" x14ac:dyDescent="0.25">
      <c r="A8" s="14" t="s">
        <v>5</v>
      </c>
      <c r="B8" s="25">
        <f>SUM(B9,B15)</f>
        <v>28264.027222622797</v>
      </c>
      <c r="C8" s="25">
        <f>SUM(C9,C15)</f>
        <v>429.58337981813168</v>
      </c>
      <c r="D8" s="25">
        <f>SUM(D9,D15)</f>
        <v>215.90784009671677</v>
      </c>
      <c r="E8" s="26"/>
      <c r="F8" s="26"/>
      <c r="G8" s="27"/>
      <c r="H8" s="28">
        <f t="shared" ref="H8:H53" si="0">SUM(B8:G8)</f>
        <v>28909.518442537643</v>
      </c>
      <c r="I8" s="57"/>
    </row>
    <row r="9" spans="1:9" x14ac:dyDescent="0.25">
      <c r="A9" s="15" t="s">
        <v>6</v>
      </c>
      <c r="B9" s="29">
        <f>SUM(B10:B14)</f>
        <v>28225.635457207558</v>
      </c>
      <c r="C9" s="29">
        <f>SUM(C10:C14)</f>
        <v>393.30992201909004</v>
      </c>
      <c r="D9" s="29">
        <f>SUM(D10:D14)</f>
        <v>215.90637890648779</v>
      </c>
      <c r="E9" s="30"/>
      <c r="F9" s="30"/>
      <c r="G9" s="30"/>
      <c r="H9" s="31">
        <f t="shared" si="0"/>
        <v>28834.851758133136</v>
      </c>
      <c r="I9" s="57"/>
    </row>
    <row r="10" spans="1:9" x14ac:dyDescent="0.25">
      <c r="A10" s="32" t="s">
        <v>7</v>
      </c>
      <c r="B10" s="33">
        <v>4166.8830440131242</v>
      </c>
      <c r="C10" s="33">
        <v>6.7537758233363538</v>
      </c>
      <c r="D10" s="33">
        <v>39.997588292050928</v>
      </c>
      <c r="E10" s="30"/>
      <c r="F10" s="30"/>
      <c r="G10" s="30"/>
      <c r="H10" s="34">
        <f t="shared" si="0"/>
        <v>4213.6344081285115</v>
      </c>
      <c r="I10" s="57"/>
    </row>
    <row r="11" spans="1:9" x14ac:dyDescent="0.25">
      <c r="A11" s="32" t="s">
        <v>8</v>
      </c>
      <c r="B11" s="33">
        <v>7106.0912936220648</v>
      </c>
      <c r="C11" s="33">
        <v>254.86447652121188</v>
      </c>
      <c r="D11" s="33">
        <v>33.350873345959528</v>
      </c>
      <c r="E11" s="30"/>
      <c r="F11" s="30"/>
      <c r="G11" s="30"/>
      <c r="H11" s="34">
        <f t="shared" si="0"/>
        <v>7394.3066434892362</v>
      </c>
      <c r="I11" s="57"/>
    </row>
    <row r="12" spans="1:9" x14ac:dyDescent="0.25">
      <c r="A12" s="32" t="s">
        <v>9</v>
      </c>
      <c r="B12" s="33">
        <v>11870.905884572368</v>
      </c>
      <c r="C12" s="35">
        <v>20.938782870541768</v>
      </c>
      <c r="D12" s="33">
        <v>118.61500137847732</v>
      </c>
      <c r="E12" s="30"/>
      <c r="F12" s="30"/>
      <c r="G12" s="30"/>
      <c r="H12" s="34">
        <f t="shared" si="0"/>
        <v>12010.459668821388</v>
      </c>
      <c r="I12" s="57"/>
    </row>
    <row r="13" spans="1:9" x14ac:dyDescent="0.25">
      <c r="A13" s="32" t="s">
        <v>10</v>
      </c>
      <c r="B13" s="33">
        <v>5031.5717000000004</v>
      </c>
      <c r="C13" s="33">
        <v>110.726496048</v>
      </c>
      <c r="D13" s="33">
        <v>23.553438765000003</v>
      </c>
      <c r="E13" s="30"/>
      <c r="F13" s="30"/>
      <c r="G13" s="30"/>
      <c r="H13" s="34">
        <f t="shared" si="0"/>
        <v>5165.8516348129997</v>
      </c>
      <c r="I13" s="57"/>
    </row>
    <row r="14" spans="1:9" x14ac:dyDescent="0.25">
      <c r="A14" s="32" t="s">
        <v>11</v>
      </c>
      <c r="B14" s="33">
        <v>50.183534999999992</v>
      </c>
      <c r="C14" s="33">
        <v>2.6390755999999998E-2</v>
      </c>
      <c r="D14" s="33">
        <v>0.38947712499999998</v>
      </c>
      <c r="E14" s="30"/>
      <c r="F14" s="30"/>
      <c r="G14" s="30"/>
      <c r="H14" s="34">
        <f t="shared" si="0"/>
        <v>50.599402880999989</v>
      </c>
      <c r="I14" s="57"/>
    </row>
    <row r="15" spans="1:9" x14ac:dyDescent="0.25">
      <c r="A15" s="15" t="s">
        <v>12</v>
      </c>
      <c r="B15" s="33">
        <f>SUM(B16:B17)</f>
        <v>38.391765415238709</v>
      </c>
      <c r="C15" s="33">
        <f>SUM(C16:C17)</f>
        <v>36.273457799041637</v>
      </c>
      <c r="D15" s="33">
        <f>SUM(D16:D17)</f>
        <v>1.4611902289850195E-3</v>
      </c>
      <c r="E15" s="30"/>
      <c r="F15" s="30"/>
      <c r="G15" s="30"/>
      <c r="H15" s="34">
        <f t="shared" si="0"/>
        <v>74.666684404509326</v>
      </c>
      <c r="I15" s="57"/>
    </row>
    <row r="16" spans="1:9" x14ac:dyDescent="0.25">
      <c r="A16" s="32" t="s">
        <v>13</v>
      </c>
      <c r="B16" s="33"/>
      <c r="C16" s="33"/>
      <c r="D16" s="33"/>
      <c r="E16" s="30"/>
      <c r="F16" s="30"/>
      <c r="G16" s="30"/>
      <c r="H16" s="34">
        <f t="shared" si="0"/>
        <v>0</v>
      </c>
      <c r="I16" s="57"/>
    </row>
    <row r="17" spans="1:9" ht="13" thickBot="1" x14ac:dyDescent="0.3">
      <c r="A17" s="36" t="s">
        <v>14</v>
      </c>
      <c r="B17" s="37">
        <v>38.391765415238709</v>
      </c>
      <c r="C17" s="37">
        <v>36.273457799041637</v>
      </c>
      <c r="D17" s="37">
        <v>1.4611902289850195E-3</v>
      </c>
      <c r="E17" s="38"/>
      <c r="F17" s="38"/>
      <c r="G17" s="38"/>
      <c r="H17" s="39">
        <f t="shared" si="0"/>
        <v>74.666684404509326</v>
      </c>
      <c r="I17" s="57"/>
    </row>
    <row r="18" spans="1:9" x14ac:dyDescent="0.25">
      <c r="A18" s="14" t="s">
        <v>15</v>
      </c>
      <c r="B18" s="40">
        <f t="shared" ref="B18:G18" si="1">SUM(B19:B26)</f>
        <v>4271.1205206785244</v>
      </c>
      <c r="C18" s="40">
        <f t="shared" si="1"/>
        <v>97.014819579999994</v>
      </c>
      <c r="D18" s="40">
        <f t="shared" si="1"/>
        <v>88.559357309999996</v>
      </c>
      <c r="E18" s="40">
        <f t="shared" si="1"/>
        <v>817.24691849010526</v>
      </c>
      <c r="F18" s="40">
        <f t="shared" si="1"/>
        <v>3.7283757032999993</v>
      </c>
      <c r="G18" s="41">
        <f t="shared" si="1"/>
        <v>42.183761879500004</v>
      </c>
      <c r="H18" s="28">
        <f t="shared" si="0"/>
        <v>5319.8537536414296</v>
      </c>
      <c r="I18" s="57"/>
    </row>
    <row r="19" spans="1:9" x14ac:dyDescent="0.25">
      <c r="A19" s="15" t="s">
        <v>16</v>
      </c>
      <c r="B19" s="29">
        <v>2136.6366407750411</v>
      </c>
      <c r="C19" s="29"/>
      <c r="D19" s="29"/>
      <c r="E19" s="42"/>
      <c r="F19" s="42"/>
      <c r="G19" s="42"/>
      <c r="H19" s="31">
        <f t="shared" si="0"/>
        <v>2136.6366407750411</v>
      </c>
      <c r="I19" s="57"/>
    </row>
    <row r="20" spans="1:9" x14ac:dyDescent="0.25">
      <c r="A20" s="15" t="s">
        <v>17</v>
      </c>
      <c r="B20" s="33">
        <v>2025.5181104214837</v>
      </c>
      <c r="C20" s="33">
        <v>97.014819579999994</v>
      </c>
      <c r="D20" s="33"/>
      <c r="E20" s="33"/>
      <c r="F20" s="33"/>
      <c r="G20" s="33"/>
      <c r="H20" s="34">
        <f t="shared" si="0"/>
        <v>2122.5329300014837</v>
      </c>
      <c r="I20" s="57"/>
    </row>
    <row r="21" spans="1:9" x14ac:dyDescent="0.25">
      <c r="A21" s="15" t="s">
        <v>18</v>
      </c>
      <c r="B21" s="33">
        <v>49.285529482000001</v>
      </c>
      <c r="C21" s="33"/>
      <c r="D21" s="33"/>
      <c r="E21" s="30"/>
      <c r="F21" s="33"/>
      <c r="G21" s="43"/>
      <c r="H21" s="34">
        <f t="shared" si="0"/>
        <v>49.285529482000001</v>
      </c>
      <c r="I21" s="57"/>
    </row>
    <row r="22" spans="1:9" x14ac:dyDescent="0.25">
      <c r="A22" s="15" t="s">
        <v>32</v>
      </c>
      <c r="B22" s="33">
        <v>59.680239999999998</v>
      </c>
      <c r="C22" s="33"/>
      <c r="D22" s="33"/>
      <c r="E22" s="30"/>
      <c r="F22" s="30"/>
      <c r="G22" s="30"/>
      <c r="H22" s="34">
        <f t="shared" si="0"/>
        <v>59.680239999999998</v>
      </c>
      <c r="I22" s="57"/>
    </row>
    <row r="23" spans="1:9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0"/>
        <v>0</v>
      </c>
      <c r="I23" s="57"/>
    </row>
    <row r="24" spans="1:9" x14ac:dyDescent="0.25">
      <c r="A24" s="15" t="s">
        <v>36</v>
      </c>
      <c r="B24" s="30"/>
      <c r="C24" s="30"/>
      <c r="D24" s="33"/>
      <c r="E24" s="33">
        <v>817.24691849010526</v>
      </c>
      <c r="F24" s="33">
        <v>3.7283757032999993</v>
      </c>
      <c r="G24" s="33"/>
      <c r="H24" s="34">
        <f t="shared" si="0"/>
        <v>820.97529419340526</v>
      </c>
      <c r="I24" s="57"/>
    </row>
    <row r="25" spans="1:9" x14ac:dyDescent="0.25">
      <c r="A25" s="15" t="s">
        <v>34</v>
      </c>
      <c r="B25" s="33"/>
      <c r="C25" s="33"/>
      <c r="D25" s="33">
        <v>88.559357309999996</v>
      </c>
      <c r="E25" s="33"/>
      <c r="F25" s="33"/>
      <c r="G25" s="33">
        <v>42.183761879500004</v>
      </c>
      <c r="H25" s="34">
        <f t="shared" si="0"/>
        <v>130.74311918949999</v>
      </c>
      <c r="I25" s="57"/>
    </row>
    <row r="26" spans="1:9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0"/>
        <v>0</v>
      </c>
      <c r="I26" s="57"/>
    </row>
    <row r="27" spans="1:9" x14ac:dyDescent="0.25">
      <c r="A27" s="18" t="s">
        <v>38</v>
      </c>
      <c r="B27" s="40">
        <f>SUM(B28:B36)</f>
        <v>11.375727999999999</v>
      </c>
      <c r="C27" s="40">
        <f>SUM(C28:C36)</f>
        <v>3063.6334645279999</v>
      </c>
      <c r="D27" s="40">
        <f>SUM(D28:D36)</f>
        <v>820.904071445</v>
      </c>
      <c r="E27" s="45"/>
      <c r="F27" s="45"/>
      <c r="G27" s="46"/>
      <c r="H27" s="28">
        <f t="shared" si="0"/>
        <v>3895.9132639729996</v>
      </c>
      <c r="I27" s="57"/>
    </row>
    <row r="28" spans="1:9" x14ac:dyDescent="0.25">
      <c r="A28" s="15" t="s">
        <v>19</v>
      </c>
      <c r="B28" s="42"/>
      <c r="C28" s="29">
        <v>1305.6759740359998</v>
      </c>
      <c r="D28" s="47"/>
      <c r="E28" s="30"/>
      <c r="F28" s="30"/>
      <c r="G28" s="30"/>
      <c r="H28" s="31">
        <f t="shared" si="0"/>
        <v>1305.6759740359998</v>
      </c>
      <c r="I28" s="57"/>
    </row>
    <row r="29" spans="1:9" x14ac:dyDescent="0.25">
      <c r="A29" s="15" t="s">
        <v>20</v>
      </c>
      <c r="B29" s="30"/>
      <c r="C29" s="33">
        <v>1640.5689417879998</v>
      </c>
      <c r="D29" s="33">
        <v>333.03509803500003</v>
      </c>
      <c r="E29" s="30"/>
      <c r="F29" s="30"/>
      <c r="G29" s="30"/>
      <c r="H29" s="34">
        <f t="shared" si="0"/>
        <v>1973.6040398229998</v>
      </c>
      <c r="I29" s="57"/>
    </row>
    <row r="30" spans="1:9" x14ac:dyDescent="0.25">
      <c r="A30" s="15" t="s">
        <v>21</v>
      </c>
      <c r="B30" s="30"/>
      <c r="C30" s="33">
        <v>116.770640308</v>
      </c>
      <c r="D30" s="48"/>
      <c r="E30" s="30"/>
      <c r="F30" s="30"/>
      <c r="G30" s="30"/>
      <c r="H30" s="34">
        <f t="shared" si="0"/>
        <v>116.770640308</v>
      </c>
      <c r="I30" s="57"/>
    </row>
    <row r="31" spans="1:9" x14ac:dyDescent="0.25">
      <c r="A31" s="15" t="s">
        <v>22</v>
      </c>
      <c r="B31" s="49"/>
      <c r="C31" s="33"/>
      <c r="D31" s="33">
        <v>487.71735683999998</v>
      </c>
      <c r="E31" s="30"/>
      <c r="F31" s="30"/>
      <c r="G31" s="30"/>
      <c r="H31" s="34">
        <f t="shared" si="0"/>
        <v>487.71735683999998</v>
      </c>
      <c r="I31" s="57"/>
    </row>
    <row r="32" spans="1:9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0"/>
        <v>0</v>
      </c>
      <c r="I32" s="57"/>
    </row>
    <row r="33" spans="1:10" x14ac:dyDescent="0.25">
      <c r="A33" s="15" t="s">
        <v>23</v>
      </c>
      <c r="B33" s="30"/>
      <c r="C33" s="33">
        <v>0.61790839600000003</v>
      </c>
      <c r="D33" s="33">
        <v>0.15161657000000001</v>
      </c>
      <c r="E33" s="30"/>
      <c r="F33" s="30"/>
      <c r="G33" s="30"/>
      <c r="H33" s="34">
        <f t="shared" si="0"/>
        <v>0.76952496600000009</v>
      </c>
      <c r="I33" s="57"/>
    </row>
    <row r="34" spans="1:10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0"/>
        <v>0</v>
      </c>
      <c r="I34" s="57"/>
    </row>
    <row r="35" spans="1:10" x14ac:dyDescent="0.25">
      <c r="A35" s="19" t="s">
        <v>47</v>
      </c>
      <c r="B35" s="50">
        <v>9.9001769999999993</v>
      </c>
      <c r="C35" s="50"/>
      <c r="D35" s="50"/>
      <c r="E35" s="51"/>
      <c r="F35" s="51"/>
      <c r="G35" s="51"/>
      <c r="H35" s="52">
        <f t="shared" si="0"/>
        <v>9.9001769999999993</v>
      </c>
      <c r="I35" s="57"/>
    </row>
    <row r="36" spans="1:10" ht="13" thickBot="1" x14ac:dyDescent="0.3">
      <c r="A36" s="16" t="s">
        <v>48</v>
      </c>
      <c r="B36" s="37">
        <v>1.4755510000000001</v>
      </c>
      <c r="C36" s="37"/>
      <c r="D36" s="37"/>
      <c r="E36" s="38"/>
      <c r="F36" s="38"/>
      <c r="G36" s="38"/>
      <c r="H36" s="39">
        <f t="shared" si="0"/>
        <v>1.4755510000000001</v>
      </c>
      <c r="I36" s="57"/>
    </row>
    <row r="37" spans="1:10" ht="13" x14ac:dyDescent="0.3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si="0"/>
        <v>0</v>
      </c>
      <c r="I37" s="198"/>
      <c r="J37" s="199"/>
    </row>
    <row r="38" spans="1:10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0"/>
        <v>0</v>
      </c>
      <c r="I38" s="57"/>
    </row>
    <row r="39" spans="1:10" ht="13" x14ac:dyDescent="0.3">
      <c r="A39" s="15" t="s">
        <v>100</v>
      </c>
      <c r="B39" s="33"/>
      <c r="C39" s="33"/>
      <c r="D39" s="33"/>
      <c r="E39" s="30"/>
      <c r="F39" s="30"/>
      <c r="G39" s="30"/>
      <c r="H39" s="34">
        <f t="shared" si="0"/>
        <v>0</v>
      </c>
      <c r="I39" s="198"/>
      <c r="J39" s="199"/>
    </row>
    <row r="40" spans="1:10" ht="13" x14ac:dyDescent="0.3">
      <c r="A40" s="15" t="s">
        <v>101</v>
      </c>
      <c r="B40" s="33"/>
      <c r="C40" s="33"/>
      <c r="D40" s="33"/>
      <c r="E40" s="30"/>
      <c r="F40" s="30"/>
      <c r="G40" s="30"/>
      <c r="H40" s="34">
        <f t="shared" si="0"/>
        <v>0</v>
      </c>
      <c r="I40" s="198"/>
      <c r="J40" s="199"/>
    </row>
    <row r="41" spans="1:10" ht="13" x14ac:dyDescent="0.3">
      <c r="A41" s="15" t="s">
        <v>102</v>
      </c>
      <c r="B41" s="33"/>
      <c r="C41" s="33"/>
      <c r="D41" s="33"/>
      <c r="E41" s="30"/>
      <c r="F41" s="30"/>
      <c r="G41" s="30"/>
      <c r="H41" s="34">
        <f t="shared" si="0"/>
        <v>0</v>
      </c>
      <c r="I41" s="198"/>
      <c r="J41" s="199"/>
    </row>
    <row r="42" spans="1:10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0"/>
        <v>0</v>
      </c>
      <c r="I42" s="57"/>
    </row>
    <row r="43" spans="1:10" ht="13" x14ac:dyDescent="0.3">
      <c r="A43" s="15" t="s">
        <v>104</v>
      </c>
      <c r="B43" s="33"/>
      <c r="C43" s="33"/>
      <c r="D43" s="33"/>
      <c r="E43" s="30"/>
      <c r="F43" s="30"/>
      <c r="G43" s="30"/>
      <c r="H43" s="34">
        <f t="shared" si="0"/>
        <v>0</v>
      </c>
      <c r="I43" s="198"/>
      <c r="J43" s="199"/>
    </row>
    <row r="44" spans="1:10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0"/>
        <v>0</v>
      </c>
      <c r="I44" s="200"/>
      <c r="J44" s="201"/>
    </row>
    <row r="45" spans="1:10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0"/>
        <v>0</v>
      </c>
      <c r="I45" s="57"/>
    </row>
    <row r="46" spans="1:10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0"/>
        <v>0</v>
      </c>
      <c r="I46" s="57"/>
    </row>
    <row r="47" spans="1:10" x14ac:dyDescent="0.25">
      <c r="A47" s="14" t="s">
        <v>40</v>
      </c>
      <c r="B47" s="40">
        <f>SUM(B48:B52)</f>
        <v>0</v>
      </c>
      <c r="C47" s="40">
        <f>SUM(C48:C52)</f>
        <v>2078.1820806215001</v>
      </c>
      <c r="D47" s="40">
        <f>SUM(D48:D52)</f>
        <v>192.73898221000002</v>
      </c>
      <c r="E47" s="45"/>
      <c r="F47" s="45"/>
      <c r="G47" s="46"/>
      <c r="H47" s="53">
        <f t="shared" si="0"/>
        <v>2270.9210628315</v>
      </c>
      <c r="I47" s="57"/>
    </row>
    <row r="48" spans="1:10" x14ac:dyDescent="0.25">
      <c r="A48" s="15" t="s">
        <v>24</v>
      </c>
      <c r="B48" s="29"/>
      <c r="C48" s="29">
        <v>1619.6935539680001</v>
      </c>
      <c r="D48" s="29"/>
      <c r="E48" s="30"/>
      <c r="F48" s="30"/>
      <c r="G48" s="30"/>
      <c r="H48" s="31">
        <f t="shared" si="0"/>
        <v>1619.6935539680001</v>
      </c>
      <c r="I48" s="57"/>
    </row>
    <row r="49" spans="1:9" x14ac:dyDescent="0.25">
      <c r="A49" s="15" t="s">
        <v>43</v>
      </c>
      <c r="B49" s="29"/>
      <c r="C49" s="29">
        <v>82.745517120000002</v>
      </c>
      <c r="D49" s="29">
        <v>41.576019600000002</v>
      </c>
      <c r="E49" s="30"/>
      <c r="F49" s="30"/>
      <c r="G49" s="30"/>
      <c r="H49" s="31">
        <f t="shared" si="0"/>
        <v>124.32153672000001</v>
      </c>
      <c r="I49" s="57"/>
    </row>
    <row r="50" spans="1:9" x14ac:dyDescent="0.25">
      <c r="A50" s="15" t="s">
        <v>25</v>
      </c>
      <c r="B50" s="33"/>
      <c r="C50" s="33">
        <v>11.425406524</v>
      </c>
      <c r="D50" s="33">
        <v>14.107935909999998</v>
      </c>
      <c r="E50" s="30"/>
      <c r="F50" s="30"/>
      <c r="G50" s="30"/>
      <c r="H50" s="34">
        <f t="shared" si="0"/>
        <v>25.533342433999998</v>
      </c>
      <c r="I50" s="57"/>
    </row>
    <row r="51" spans="1:9" x14ac:dyDescent="0.25">
      <c r="A51" s="15" t="s">
        <v>42</v>
      </c>
      <c r="B51" s="30"/>
      <c r="C51" s="33">
        <v>364.22353958550002</v>
      </c>
      <c r="D51" s="33">
        <v>137.05502670000001</v>
      </c>
      <c r="E51" s="30"/>
      <c r="F51" s="30"/>
      <c r="G51" s="30"/>
      <c r="H51" s="34">
        <f t="shared" si="0"/>
        <v>501.27856628550001</v>
      </c>
      <c r="I51" s="57"/>
    </row>
    <row r="52" spans="1:9" ht="13" thickBot="1" x14ac:dyDescent="0.3">
      <c r="A52" s="15" t="s">
        <v>44</v>
      </c>
      <c r="B52" s="33"/>
      <c r="C52" s="33">
        <v>9.4063424000000007E-2</v>
      </c>
      <c r="D52" s="33"/>
      <c r="E52" s="30"/>
      <c r="F52" s="30"/>
      <c r="G52" s="30"/>
      <c r="H52" s="34">
        <f t="shared" si="0"/>
        <v>9.4063424000000007E-2</v>
      </c>
      <c r="I52" s="57"/>
    </row>
    <row r="53" spans="1:9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0"/>
        <v>0</v>
      </c>
    </row>
    <row r="54" spans="1:9" x14ac:dyDescent="0.25">
      <c r="I54" s="57"/>
    </row>
    <row r="55" spans="1:9" x14ac:dyDescent="0.25">
      <c r="B55" s="57"/>
      <c r="C55" s="57"/>
      <c r="D55" s="57"/>
      <c r="E55" s="57"/>
      <c r="F55" s="57"/>
      <c r="G55" s="57"/>
      <c r="H55" s="57"/>
      <c r="I55" s="57"/>
    </row>
    <row r="60" spans="1:9" x14ac:dyDescent="0.25">
      <c r="I60" s="57"/>
    </row>
  </sheetData>
  <mergeCells count="1">
    <mergeCell ref="B6:H6"/>
  </mergeCells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1990-2021&amp;RActualizado a 21/03/2023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opLeftCell="A7"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80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202" t="s">
        <v>116</v>
      </c>
      <c r="B7" s="203">
        <f>SUM(B8,B18,B27,B37,B47,B53)</f>
        <v>32077.049427670667</v>
      </c>
      <c r="C7" s="203">
        <f t="shared" ref="C7:G7" si="0">SUM(C8,C18,C27,C37,C47,C53)</f>
        <v>5589.3920643671063</v>
      </c>
      <c r="D7" s="203">
        <f t="shared" si="0"/>
        <v>1329.2033520425741</v>
      </c>
      <c r="E7" s="203">
        <f t="shared" si="0"/>
        <v>798.21824793956898</v>
      </c>
      <c r="F7" s="203">
        <f t="shared" si="0"/>
        <v>1.1854751115</v>
      </c>
      <c r="G7" s="203">
        <f t="shared" si="0"/>
        <v>41.720747324999998</v>
      </c>
      <c r="H7" s="204">
        <f>SUM(B7:G7)</f>
        <v>39836.769314456425</v>
      </c>
    </row>
    <row r="8" spans="1:8" x14ac:dyDescent="0.25">
      <c r="A8" s="14" t="s">
        <v>5</v>
      </c>
      <c r="B8" s="25">
        <f>SUM(B9,B15)</f>
        <v>27679.661639592356</v>
      </c>
      <c r="C8" s="25">
        <f>SUM(C9,C15)</f>
        <v>403.75959329210616</v>
      </c>
      <c r="D8" s="25">
        <f>SUM(D9,D15)</f>
        <v>216.7045250775742</v>
      </c>
      <c r="E8" s="26"/>
      <c r="F8" s="26"/>
      <c r="G8" s="27"/>
      <c r="H8" s="28">
        <f t="shared" ref="H8:H53" si="1">SUM(B8:G8)</f>
        <v>28300.125757962036</v>
      </c>
    </row>
    <row r="9" spans="1:8" x14ac:dyDescent="0.25">
      <c r="A9" s="15" t="s">
        <v>6</v>
      </c>
      <c r="B9" s="29">
        <f>SUM(B10:B14)</f>
        <v>27612.256399624941</v>
      </c>
      <c r="C9" s="29">
        <f>SUM(C10:C14)</f>
        <v>369.01329494903524</v>
      </c>
      <c r="D9" s="29">
        <f>SUM(D10:D14)</f>
        <v>216.69865837098112</v>
      </c>
      <c r="E9" s="30"/>
      <c r="F9" s="30"/>
      <c r="G9" s="30"/>
      <c r="H9" s="31">
        <f t="shared" si="1"/>
        <v>28197.968352944958</v>
      </c>
    </row>
    <row r="10" spans="1:8" x14ac:dyDescent="0.25">
      <c r="A10" s="32" t="s">
        <v>7</v>
      </c>
      <c r="B10" s="33">
        <v>4105.0691635643507</v>
      </c>
      <c r="C10" s="33">
        <v>5.6810742848230538</v>
      </c>
      <c r="D10" s="33">
        <v>41.354251463827893</v>
      </c>
      <c r="E10" s="30"/>
      <c r="F10" s="30"/>
      <c r="G10" s="30"/>
      <c r="H10" s="34">
        <f t="shared" si="1"/>
        <v>4152.1044893130011</v>
      </c>
    </row>
    <row r="11" spans="1:8" x14ac:dyDescent="0.25">
      <c r="A11" s="32" t="s">
        <v>8</v>
      </c>
      <c r="B11" s="33">
        <v>7005.997355962867</v>
      </c>
      <c r="C11" s="33">
        <v>234.97870978449137</v>
      </c>
      <c r="D11" s="33">
        <v>33.499625342847551</v>
      </c>
      <c r="E11" s="30"/>
      <c r="F11" s="30"/>
      <c r="G11" s="30"/>
      <c r="H11" s="34">
        <f t="shared" si="1"/>
        <v>7274.4756910902051</v>
      </c>
    </row>
    <row r="12" spans="1:8" x14ac:dyDescent="0.25">
      <c r="A12" s="32" t="s">
        <v>9</v>
      </c>
      <c r="B12" s="33">
        <v>11561.239263097723</v>
      </c>
      <c r="C12" s="35">
        <v>18.87960633972077</v>
      </c>
      <c r="D12" s="33">
        <v>117.96758620430568</v>
      </c>
      <c r="E12" s="30"/>
      <c r="F12" s="30"/>
      <c r="G12" s="30"/>
      <c r="H12" s="34">
        <f t="shared" si="1"/>
        <v>11698.086455641749</v>
      </c>
    </row>
    <row r="13" spans="1:8" x14ac:dyDescent="0.25">
      <c r="A13" s="32" t="s">
        <v>10</v>
      </c>
      <c r="B13" s="33">
        <v>4893.6946449999996</v>
      </c>
      <c r="C13" s="33">
        <v>109.44644818800001</v>
      </c>
      <c r="D13" s="33">
        <v>23.512265450000001</v>
      </c>
      <c r="E13" s="30"/>
      <c r="F13" s="30"/>
      <c r="G13" s="30"/>
      <c r="H13" s="34">
        <f t="shared" si="1"/>
        <v>5026.6533586380001</v>
      </c>
    </row>
    <row r="14" spans="1:8" x14ac:dyDescent="0.25">
      <c r="A14" s="32" t="s">
        <v>11</v>
      </c>
      <c r="B14" s="33">
        <v>46.255971999999993</v>
      </c>
      <c r="C14" s="33">
        <v>2.7456352E-2</v>
      </c>
      <c r="D14" s="33">
        <v>0.36492991000000002</v>
      </c>
      <c r="E14" s="30"/>
      <c r="F14" s="30"/>
      <c r="G14" s="30"/>
      <c r="H14" s="34">
        <f t="shared" si="1"/>
        <v>46.648358261999995</v>
      </c>
    </row>
    <row r="15" spans="1:8" x14ac:dyDescent="0.25">
      <c r="A15" s="15" t="s">
        <v>12</v>
      </c>
      <c r="B15" s="33">
        <f>SUM(B16:B17)</f>
        <v>67.405239967414246</v>
      </c>
      <c r="C15" s="33">
        <f>SUM(C16:C17)</f>
        <v>34.746298343070904</v>
      </c>
      <c r="D15" s="33">
        <f>SUM(D16:D17)</f>
        <v>5.8667065930804226E-3</v>
      </c>
      <c r="E15" s="30"/>
      <c r="F15" s="30"/>
      <c r="G15" s="30"/>
      <c r="H15" s="34">
        <f t="shared" si="1"/>
        <v>102.15740501707823</v>
      </c>
    </row>
    <row r="16" spans="1:8" x14ac:dyDescent="0.25">
      <c r="A16" s="32" t="s">
        <v>13</v>
      </c>
      <c r="B16" s="33"/>
      <c r="C16" s="33"/>
      <c r="D16" s="33"/>
      <c r="E16" s="30"/>
      <c r="F16" s="30"/>
      <c r="G16" s="30"/>
      <c r="H16" s="34">
        <f t="shared" si="1"/>
        <v>0</v>
      </c>
    </row>
    <row r="17" spans="1:8" ht="13" thickBot="1" x14ac:dyDescent="0.3">
      <c r="A17" s="36" t="s">
        <v>14</v>
      </c>
      <c r="B17" s="37">
        <v>67.405239967414246</v>
      </c>
      <c r="C17" s="37">
        <v>34.746298343070904</v>
      </c>
      <c r="D17" s="37">
        <v>5.8667065930804226E-3</v>
      </c>
      <c r="E17" s="38"/>
      <c r="F17" s="38"/>
      <c r="G17" s="38"/>
      <c r="H17" s="39">
        <f t="shared" si="1"/>
        <v>102.15740501707823</v>
      </c>
    </row>
    <row r="18" spans="1:8" x14ac:dyDescent="0.25">
      <c r="A18" s="14" t="s">
        <v>15</v>
      </c>
      <c r="B18" s="40">
        <f t="shared" ref="B18:G18" si="2">SUM(B19:B26)</f>
        <v>4378.3579580783116</v>
      </c>
      <c r="C18" s="40">
        <f t="shared" si="2"/>
        <v>102.31107403999999</v>
      </c>
      <c r="D18" s="40">
        <f t="shared" si="2"/>
        <v>97.529493624999986</v>
      </c>
      <c r="E18" s="40">
        <f t="shared" si="2"/>
        <v>798.21824793956898</v>
      </c>
      <c r="F18" s="40">
        <f t="shared" si="2"/>
        <v>1.1854751115</v>
      </c>
      <c r="G18" s="41">
        <f t="shared" si="2"/>
        <v>41.720747324999998</v>
      </c>
      <c r="H18" s="28">
        <f t="shared" si="1"/>
        <v>5419.3229961193802</v>
      </c>
    </row>
    <row r="19" spans="1:8" x14ac:dyDescent="0.25">
      <c r="A19" s="15" t="s">
        <v>16</v>
      </c>
      <c r="B19" s="29">
        <v>2245.3836934771471</v>
      </c>
      <c r="C19" s="29"/>
      <c r="D19" s="29"/>
      <c r="E19" s="42"/>
      <c r="F19" s="42"/>
      <c r="G19" s="42"/>
      <c r="H19" s="31">
        <f t="shared" si="1"/>
        <v>2245.3836934771471</v>
      </c>
    </row>
    <row r="20" spans="1:8" x14ac:dyDescent="0.25">
      <c r="A20" s="15" t="s">
        <v>17</v>
      </c>
      <c r="B20" s="33">
        <v>2021.5183163331644</v>
      </c>
      <c r="C20" s="33">
        <v>102.31107403999999</v>
      </c>
      <c r="D20" s="33">
        <v>2.7171509999999999</v>
      </c>
      <c r="E20" s="33"/>
      <c r="F20" s="33"/>
      <c r="G20" s="33"/>
      <c r="H20" s="34">
        <f t="shared" si="1"/>
        <v>2126.5465413731645</v>
      </c>
    </row>
    <row r="21" spans="1:8" x14ac:dyDescent="0.25">
      <c r="A21" s="15" t="s">
        <v>18</v>
      </c>
      <c r="B21" s="33">
        <v>53.837002267999999</v>
      </c>
      <c r="C21" s="33"/>
      <c r="D21" s="33"/>
      <c r="E21" s="30"/>
      <c r="F21" s="33"/>
      <c r="G21" s="43"/>
      <c r="H21" s="34">
        <f t="shared" si="1"/>
        <v>53.837002267999999</v>
      </c>
    </row>
    <row r="22" spans="1:8" x14ac:dyDescent="0.25">
      <c r="A22" s="15" t="s">
        <v>32</v>
      </c>
      <c r="B22" s="33">
        <v>57.618946000000001</v>
      </c>
      <c r="C22" s="33"/>
      <c r="D22" s="33"/>
      <c r="E22" s="30"/>
      <c r="F22" s="30"/>
      <c r="G22" s="30"/>
      <c r="H22" s="34">
        <f t="shared" si="1"/>
        <v>57.618946000000001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798.21824793956898</v>
      </c>
      <c r="F24" s="33">
        <v>1.1854751115</v>
      </c>
      <c r="G24" s="33"/>
      <c r="H24" s="34">
        <f t="shared" si="1"/>
        <v>799.40372305106894</v>
      </c>
    </row>
    <row r="25" spans="1:8" x14ac:dyDescent="0.25">
      <c r="A25" s="15" t="s">
        <v>34</v>
      </c>
      <c r="B25" s="33"/>
      <c r="C25" s="33"/>
      <c r="D25" s="33">
        <v>94.812342624999985</v>
      </c>
      <c r="E25" s="33"/>
      <c r="F25" s="33"/>
      <c r="G25" s="33">
        <v>41.720747324999998</v>
      </c>
      <c r="H25" s="34">
        <f t="shared" si="1"/>
        <v>136.53308994999998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19.02983</v>
      </c>
      <c r="C27" s="40">
        <f>SUM(C28:C36)</f>
        <v>2930.3712781000004</v>
      </c>
      <c r="D27" s="40">
        <f>SUM(D28:D36)</f>
        <v>808.34598087999996</v>
      </c>
      <c r="E27" s="45"/>
      <c r="F27" s="45"/>
      <c r="G27" s="46"/>
      <c r="H27" s="28">
        <f t="shared" si="1"/>
        <v>3757.7470889800002</v>
      </c>
    </row>
    <row r="28" spans="1:8" x14ac:dyDescent="0.25">
      <c r="A28" s="15" t="s">
        <v>19</v>
      </c>
      <c r="B28" s="42"/>
      <c r="C28" s="29">
        <v>1177.8450137720001</v>
      </c>
      <c r="D28" s="47"/>
      <c r="E28" s="30"/>
      <c r="F28" s="30"/>
      <c r="G28" s="30"/>
      <c r="H28" s="31">
        <f t="shared" si="1"/>
        <v>1177.8450137720001</v>
      </c>
    </row>
    <row r="29" spans="1:8" x14ac:dyDescent="0.25">
      <c r="A29" s="15" t="s">
        <v>20</v>
      </c>
      <c r="B29" s="30"/>
      <c r="C29" s="33">
        <v>1635.1377156240001</v>
      </c>
      <c r="D29" s="33">
        <v>317.626083145</v>
      </c>
      <c r="E29" s="30"/>
      <c r="F29" s="30"/>
      <c r="G29" s="30"/>
      <c r="H29" s="34">
        <f t="shared" si="1"/>
        <v>1952.763798769</v>
      </c>
    </row>
    <row r="30" spans="1:8" x14ac:dyDescent="0.25">
      <c r="A30" s="15" t="s">
        <v>21</v>
      </c>
      <c r="B30" s="30"/>
      <c r="C30" s="33">
        <v>116.770640308</v>
      </c>
      <c r="D30" s="48"/>
      <c r="E30" s="30"/>
      <c r="F30" s="30"/>
      <c r="G30" s="30"/>
      <c r="H30" s="34">
        <f t="shared" si="1"/>
        <v>116.770640308</v>
      </c>
    </row>
    <row r="31" spans="1:8" x14ac:dyDescent="0.25">
      <c r="A31" s="15" t="s">
        <v>22</v>
      </c>
      <c r="B31" s="49"/>
      <c r="C31" s="33"/>
      <c r="D31" s="33">
        <v>490.56828116499997</v>
      </c>
      <c r="E31" s="30"/>
      <c r="F31" s="30"/>
      <c r="G31" s="30"/>
      <c r="H31" s="34">
        <f t="shared" si="1"/>
        <v>490.56828116499997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0.61790839600000003</v>
      </c>
      <c r="D33" s="33">
        <v>0.15161657000000001</v>
      </c>
      <c r="E33" s="30"/>
      <c r="F33" s="30"/>
      <c r="G33" s="30"/>
      <c r="H33" s="34">
        <f t="shared" si="1"/>
        <v>0.76952496600000009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17.072213000000001</v>
      </c>
      <c r="C35" s="50"/>
      <c r="D35" s="50"/>
      <c r="E35" s="51"/>
      <c r="F35" s="51"/>
      <c r="G35" s="51"/>
      <c r="H35" s="52">
        <f t="shared" si="1"/>
        <v>17.072213000000001</v>
      </c>
    </row>
    <row r="36" spans="1:8" ht="13" thickBot="1" x14ac:dyDescent="0.3">
      <c r="A36" s="16" t="s">
        <v>48</v>
      </c>
      <c r="B36" s="37">
        <v>1.9576169999999999</v>
      </c>
      <c r="C36" s="37"/>
      <c r="D36" s="37"/>
      <c r="E36" s="38"/>
      <c r="F36" s="38"/>
      <c r="G36" s="38"/>
      <c r="H36" s="39">
        <f t="shared" si="1"/>
        <v>1.9576169999999999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2152.9501189350003</v>
      </c>
      <c r="D47" s="40">
        <f>SUM(D48:D52)</f>
        <v>206.62335246000001</v>
      </c>
      <c r="E47" s="45"/>
      <c r="F47" s="45"/>
      <c r="G47" s="46"/>
      <c r="H47" s="53">
        <f t="shared" si="1"/>
        <v>2359.5734713950005</v>
      </c>
    </row>
    <row r="48" spans="1:8" x14ac:dyDescent="0.25">
      <c r="A48" s="15" t="s">
        <v>24</v>
      </c>
      <c r="B48" s="29"/>
      <c r="C48" s="29">
        <v>1677.6573286760001</v>
      </c>
      <c r="D48" s="29"/>
      <c r="E48" s="30"/>
      <c r="F48" s="30"/>
      <c r="G48" s="30"/>
      <c r="H48" s="31">
        <f t="shared" si="1"/>
        <v>1677.6573286760001</v>
      </c>
    </row>
    <row r="49" spans="1:8" x14ac:dyDescent="0.25">
      <c r="A49" s="15" t="s">
        <v>43</v>
      </c>
      <c r="B49" s="29"/>
      <c r="C49" s="29">
        <v>81.781515984000009</v>
      </c>
      <c r="D49" s="29">
        <v>41.576019600000002</v>
      </c>
      <c r="E49" s="30"/>
      <c r="F49" s="30"/>
      <c r="G49" s="30"/>
      <c r="H49" s="31">
        <f t="shared" si="1"/>
        <v>123.357535584</v>
      </c>
    </row>
    <row r="50" spans="1:8" x14ac:dyDescent="0.25">
      <c r="A50" s="15" t="s">
        <v>25</v>
      </c>
      <c r="B50" s="33"/>
      <c r="C50" s="33">
        <v>11.425406496000001</v>
      </c>
      <c r="D50" s="33">
        <v>14.10793591</v>
      </c>
      <c r="E50" s="30"/>
      <c r="F50" s="30"/>
      <c r="G50" s="30"/>
      <c r="H50" s="34">
        <f t="shared" si="1"/>
        <v>25.533342406000003</v>
      </c>
    </row>
    <row r="51" spans="1:8" x14ac:dyDescent="0.25">
      <c r="A51" s="15" t="s">
        <v>42</v>
      </c>
      <c r="B51" s="30"/>
      <c r="C51" s="33">
        <v>381.991804355</v>
      </c>
      <c r="D51" s="33">
        <v>150.93939695</v>
      </c>
      <c r="E51" s="30"/>
      <c r="F51" s="30"/>
      <c r="G51" s="30"/>
      <c r="H51" s="34">
        <f t="shared" si="1"/>
        <v>532.93120130500006</v>
      </c>
    </row>
    <row r="52" spans="1:8" ht="13" thickBot="1" x14ac:dyDescent="0.3">
      <c r="A52" s="15" t="s">
        <v>44</v>
      </c>
      <c r="B52" s="33"/>
      <c r="C52" s="33">
        <v>9.406342400000002E-2</v>
      </c>
      <c r="D52" s="33"/>
      <c r="E52" s="30"/>
      <c r="F52" s="30"/>
      <c r="G52" s="30"/>
      <c r="H52" s="34">
        <f t="shared" si="1"/>
        <v>9.406342400000002E-2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ageMargins left="0.74803149606299213" right="0.74803149606299213" top="0.98425196850393704" bottom="0.98425196850393704" header="0" footer="0"/>
  <pageSetup paperSize="9" scale="66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workbookViewId="0">
      <selection activeCell="B7" sqref="B7:H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79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35503.841988853281</v>
      </c>
      <c r="C7" s="203">
        <f t="shared" ref="C7:G7" si="0">SUM(C8,C18,C27,C37,C47,C53)</f>
        <v>5758.8286854371363</v>
      </c>
      <c r="D7" s="203">
        <f t="shared" si="0"/>
        <v>1324.4255994329253</v>
      </c>
      <c r="E7" s="203">
        <f t="shared" si="0"/>
        <v>923.71299094694393</v>
      </c>
      <c r="F7" s="203">
        <f t="shared" si="0"/>
        <v>1.9603606519999996</v>
      </c>
      <c r="G7" s="203">
        <f t="shared" si="0"/>
        <v>41.248391755499995</v>
      </c>
      <c r="H7" s="204">
        <f>SUM(B7:G7)</f>
        <v>43554.018017077797</v>
      </c>
    </row>
    <row r="8" spans="1:8" ht="13" thickTop="1" x14ac:dyDescent="0.25">
      <c r="A8" s="14" t="s">
        <v>5</v>
      </c>
      <c r="B8" s="25">
        <f>SUM(B9,B15)</f>
        <v>30987.42126248834</v>
      </c>
      <c r="C8" s="25">
        <f>SUM(C9,C15)</f>
        <v>438.27521617288727</v>
      </c>
      <c r="D8" s="25">
        <f>SUM(D9,D15)</f>
        <v>245.47008689292514</v>
      </c>
      <c r="E8" s="26"/>
      <c r="F8" s="26"/>
      <c r="G8" s="27"/>
      <c r="H8" s="28">
        <f t="shared" ref="H8:H53" si="1">SUM(B8:G8)</f>
        <v>31671.166565554151</v>
      </c>
    </row>
    <row r="9" spans="1:8" x14ac:dyDescent="0.25">
      <c r="A9" s="15" t="s">
        <v>6</v>
      </c>
      <c r="B9" s="29">
        <f>SUM(B10:B14)</f>
        <v>30919.771517664325</v>
      </c>
      <c r="C9" s="29">
        <f>SUM(C10:C14)</f>
        <v>389.49641830024922</v>
      </c>
      <c r="D9" s="29">
        <f>SUM(D10:D14)</f>
        <v>245.4622536780951</v>
      </c>
      <c r="E9" s="30"/>
      <c r="F9" s="30"/>
      <c r="G9" s="30"/>
      <c r="H9" s="31">
        <f t="shared" si="1"/>
        <v>31554.730189642669</v>
      </c>
    </row>
    <row r="10" spans="1:8" x14ac:dyDescent="0.25">
      <c r="A10" s="32" t="s">
        <v>7</v>
      </c>
      <c r="B10" s="33">
        <v>5659.7744423898903</v>
      </c>
      <c r="C10" s="33">
        <v>7.5370808446905713</v>
      </c>
      <c r="D10" s="33">
        <v>59.635554682259411</v>
      </c>
      <c r="E10" s="30"/>
      <c r="F10" s="30"/>
      <c r="G10" s="30"/>
      <c r="H10" s="34">
        <f t="shared" si="1"/>
        <v>5726.9470779168405</v>
      </c>
    </row>
    <row r="11" spans="1:8" x14ac:dyDescent="0.25">
      <c r="A11" s="32" t="s">
        <v>8</v>
      </c>
      <c r="B11" s="33">
        <v>7272.5610223108806</v>
      </c>
      <c r="C11" s="33">
        <v>249.10017310764275</v>
      </c>
      <c r="D11" s="33">
        <v>34.623297232000972</v>
      </c>
      <c r="E11" s="30"/>
      <c r="F11" s="30"/>
      <c r="G11" s="30"/>
      <c r="H11" s="34">
        <f t="shared" si="1"/>
        <v>7556.284492650525</v>
      </c>
    </row>
    <row r="12" spans="1:8" x14ac:dyDescent="0.25">
      <c r="A12" s="32" t="s">
        <v>9</v>
      </c>
      <c r="B12" s="33">
        <v>13014.049356963551</v>
      </c>
      <c r="C12" s="35">
        <v>22.430537479915866</v>
      </c>
      <c r="D12" s="33">
        <v>127.1838802038347</v>
      </c>
      <c r="E12" s="30"/>
      <c r="F12" s="30"/>
      <c r="G12" s="30"/>
      <c r="H12" s="34">
        <f t="shared" si="1"/>
        <v>13163.663774647301</v>
      </c>
    </row>
    <row r="13" spans="1:8" x14ac:dyDescent="0.25">
      <c r="A13" s="32" t="s">
        <v>10</v>
      </c>
      <c r="B13" s="33">
        <v>4925.1548359999997</v>
      </c>
      <c r="C13" s="33">
        <v>110.40468076400001</v>
      </c>
      <c r="D13" s="33">
        <v>23.643118739999998</v>
      </c>
      <c r="E13" s="30"/>
      <c r="F13" s="30"/>
      <c r="G13" s="30"/>
      <c r="H13" s="34">
        <f t="shared" si="1"/>
        <v>5059.2026355039998</v>
      </c>
    </row>
    <row r="14" spans="1:8" x14ac:dyDescent="0.25">
      <c r="A14" s="32" t="s">
        <v>11</v>
      </c>
      <c r="B14" s="33">
        <v>48.231859999999998</v>
      </c>
      <c r="C14" s="33">
        <v>2.3946103999999999E-2</v>
      </c>
      <c r="D14" s="33">
        <v>0.37640282000000003</v>
      </c>
      <c r="E14" s="30"/>
      <c r="F14" s="30"/>
      <c r="G14" s="30"/>
      <c r="H14" s="34">
        <f t="shared" si="1"/>
        <v>48.632208923999997</v>
      </c>
    </row>
    <row r="15" spans="1:8" x14ac:dyDescent="0.25">
      <c r="A15" s="15" t="s">
        <v>12</v>
      </c>
      <c r="B15" s="33">
        <f>SUM(B16:B17)</f>
        <v>67.649744824014391</v>
      </c>
      <c r="C15" s="33">
        <f>SUM(C16:C17)</f>
        <v>48.778797872638073</v>
      </c>
      <c r="D15" s="33">
        <f>SUM(D16:D17)</f>
        <v>7.8332148300320065E-3</v>
      </c>
      <c r="E15" s="30"/>
      <c r="F15" s="30"/>
      <c r="G15" s="30"/>
      <c r="H15" s="34">
        <f t="shared" si="1"/>
        <v>116.4363759114825</v>
      </c>
    </row>
    <row r="16" spans="1:8" x14ac:dyDescent="0.25">
      <c r="A16" s="32" t="s">
        <v>13</v>
      </c>
      <c r="B16" s="33"/>
      <c r="C16" s="33"/>
      <c r="D16" s="33"/>
      <c r="E16" s="30"/>
      <c r="F16" s="30"/>
      <c r="G16" s="30"/>
      <c r="H16" s="34">
        <f t="shared" si="1"/>
        <v>0</v>
      </c>
    </row>
    <row r="17" spans="1:8" ht="13" thickBot="1" x14ac:dyDescent="0.3">
      <c r="A17" s="36" t="s">
        <v>14</v>
      </c>
      <c r="B17" s="37">
        <v>67.649744824014391</v>
      </c>
      <c r="C17" s="37">
        <v>48.778797872638073</v>
      </c>
      <c r="D17" s="37">
        <v>7.8332148300320065E-3</v>
      </c>
      <c r="E17" s="38"/>
      <c r="F17" s="38"/>
      <c r="G17" s="38"/>
      <c r="H17" s="39">
        <f t="shared" si="1"/>
        <v>116.4363759114825</v>
      </c>
    </row>
    <row r="18" spans="1:8" x14ac:dyDescent="0.25">
      <c r="A18" s="14" t="s">
        <v>15</v>
      </c>
      <c r="B18" s="40">
        <f t="shared" ref="B18:G18" si="2">SUM(B19:B26)</f>
        <v>4502.8197643649437</v>
      </c>
      <c r="C18" s="40">
        <f t="shared" si="2"/>
        <v>99.975829828000002</v>
      </c>
      <c r="D18" s="40">
        <f t="shared" si="2"/>
        <v>103.632901015</v>
      </c>
      <c r="E18" s="40">
        <f t="shared" si="2"/>
        <v>923.71299094694393</v>
      </c>
      <c r="F18" s="40">
        <f t="shared" si="2"/>
        <v>1.9603606519999996</v>
      </c>
      <c r="G18" s="41">
        <f t="shared" si="2"/>
        <v>41.248391755499995</v>
      </c>
      <c r="H18" s="28">
        <f t="shared" si="1"/>
        <v>5673.3502385623888</v>
      </c>
    </row>
    <row r="19" spans="1:8" x14ac:dyDescent="0.25">
      <c r="A19" s="15" t="s">
        <v>16</v>
      </c>
      <c r="B19" s="29">
        <v>2344.5552264538228</v>
      </c>
      <c r="C19" s="29"/>
      <c r="D19" s="29"/>
      <c r="E19" s="42"/>
      <c r="F19" s="42"/>
      <c r="G19" s="42"/>
      <c r="H19" s="31">
        <f t="shared" si="1"/>
        <v>2344.5552264538228</v>
      </c>
    </row>
    <row r="20" spans="1:8" x14ac:dyDescent="0.25">
      <c r="A20" s="15" t="s">
        <v>17</v>
      </c>
      <c r="B20" s="33">
        <v>2041.4702959671208</v>
      </c>
      <c r="C20" s="33">
        <v>99.975829828000002</v>
      </c>
      <c r="D20" s="33">
        <v>21.616050000000001</v>
      </c>
      <c r="E20" s="33"/>
      <c r="F20" s="33"/>
      <c r="G20" s="33"/>
      <c r="H20" s="34">
        <f t="shared" si="1"/>
        <v>2163.0621757951208</v>
      </c>
    </row>
    <row r="21" spans="1:8" x14ac:dyDescent="0.25">
      <c r="A21" s="15" t="s">
        <v>18</v>
      </c>
      <c r="B21" s="33">
        <v>53.904343944000004</v>
      </c>
      <c r="C21" s="33"/>
      <c r="D21" s="33"/>
      <c r="E21" s="30"/>
      <c r="F21" s="33"/>
      <c r="G21" s="43"/>
      <c r="H21" s="34">
        <f t="shared" si="1"/>
        <v>53.904343944000004</v>
      </c>
    </row>
    <row r="22" spans="1:8" x14ac:dyDescent="0.25">
      <c r="A22" s="15" t="s">
        <v>32</v>
      </c>
      <c r="B22" s="33">
        <v>62.889898000000002</v>
      </c>
      <c r="C22" s="33"/>
      <c r="D22" s="33"/>
      <c r="E22" s="30"/>
      <c r="F22" s="30"/>
      <c r="G22" s="30"/>
      <c r="H22" s="34">
        <f t="shared" si="1"/>
        <v>62.889898000000002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923.71299094694393</v>
      </c>
      <c r="F24" s="33">
        <v>1.9603606519999996</v>
      </c>
      <c r="G24" s="33"/>
      <c r="H24" s="34">
        <f t="shared" si="1"/>
        <v>925.6733515989439</v>
      </c>
    </row>
    <row r="25" spans="1:8" x14ac:dyDescent="0.25">
      <c r="A25" s="15" t="s">
        <v>34</v>
      </c>
      <c r="B25" s="33"/>
      <c r="C25" s="33"/>
      <c r="D25" s="33">
        <v>82.016851015</v>
      </c>
      <c r="E25" s="33"/>
      <c r="F25" s="33"/>
      <c r="G25" s="33">
        <v>41.248391755499995</v>
      </c>
      <c r="H25" s="34">
        <f t="shared" si="1"/>
        <v>123.2652427705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13.600961999999999</v>
      </c>
      <c r="C27" s="40">
        <f>SUM(C28:C36)</f>
        <v>3003.5283114759995</v>
      </c>
      <c r="D27" s="40">
        <f>SUM(D28:D36)</f>
        <v>783.28117636000013</v>
      </c>
      <c r="E27" s="45"/>
      <c r="F27" s="45"/>
      <c r="G27" s="46"/>
      <c r="H27" s="28">
        <f t="shared" si="1"/>
        <v>3800.4104498359998</v>
      </c>
    </row>
    <row r="28" spans="1:8" x14ac:dyDescent="0.25">
      <c r="A28" s="15" t="s">
        <v>19</v>
      </c>
      <c r="B28" s="42"/>
      <c r="C28" s="29">
        <v>1216.9964597559999</v>
      </c>
      <c r="D28" s="47"/>
      <c r="E28" s="30"/>
      <c r="F28" s="30"/>
      <c r="G28" s="30"/>
      <c r="H28" s="31">
        <f t="shared" si="1"/>
        <v>1216.9964597559999</v>
      </c>
    </row>
    <row r="29" spans="1:8" x14ac:dyDescent="0.25">
      <c r="A29" s="15" t="s">
        <v>20</v>
      </c>
      <c r="B29" s="30"/>
      <c r="C29" s="33">
        <v>1669.7457454720002</v>
      </c>
      <c r="D29" s="33">
        <v>323.42095024000002</v>
      </c>
      <c r="E29" s="30"/>
      <c r="F29" s="30"/>
      <c r="G29" s="30"/>
      <c r="H29" s="34">
        <f t="shared" si="1"/>
        <v>1993.1666957120001</v>
      </c>
    </row>
    <row r="30" spans="1:8" x14ac:dyDescent="0.25">
      <c r="A30" s="15" t="s">
        <v>21</v>
      </c>
      <c r="B30" s="30"/>
      <c r="C30" s="33">
        <v>116.209242996</v>
      </c>
      <c r="D30" s="48"/>
      <c r="E30" s="30"/>
      <c r="F30" s="30"/>
      <c r="G30" s="30"/>
      <c r="H30" s="34">
        <f t="shared" si="1"/>
        <v>116.209242996</v>
      </c>
    </row>
    <row r="31" spans="1:8" x14ac:dyDescent="0.25">
      <c r="A31" s="15" t="s">
        <v>22</v>
      </c>
      <c r="B31" s="49"/>
      <c r="C31" s="33"/>
      <c r="D31" s="33">
        <v>459.71868114</v>
      </c>
      <c r="E31" s="30"/>
      <c r="F31" s="30"/>
      <c r="G31" s="30"/>
      <c r="H31" s="34">
        <f t="shared" si="1"/>
        <v>459.71868114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0.57686325199999999</v>
      </c>
      <c r="D33" s="33">
        <v>0.14154497999999999</v>
      </c>
      <c r="E33" s="30"/>
      <c r="F33" s="30"/>
      <c r="G33" s="30"/>
      <c r="H33" s="34">
        <f t="shared" si="1"/>
        <v>0.71840823200000004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11.741171999999999</v>
      </c>
      <c r="C35" s="50"/>
      <c r="D35" s="50"/>
      <c r="E35" s="51"/>
      <c r="F35" s="51"/>
      <c r="G35" s="51"/>
      <c r="H35" s="52">
        <f t="shared" si="1"/>
        <v>11.741171999999999</v>
      </c>
    </row>
    <row r="36" spans="1:8" ht="13" thickBot="1" x14ac:dyDescent="0.3">
      <c r="A36" s="16" t="s">
        <v>48</v>
      </c>
      <c r="B36" s="37">
        <v>1.8597899999999998</v>
      </c>
      <c r="C36" s="37"/>
      <c r="D36" s="37"/>
      <c r="E36" s="38"/>
      <c r="F36" s="38"/>
      <c r="G36" s="38"/>
      <c r="H36" s="39">
        <f t="shared" si="1"/>
        <v>1.8597899999999998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2217.0493279602501</v>
      </c>
      <c r="D47" s="40">
        <f>SUM(D48:D52)</f>
        <v>192.041435165</v>
      </c>
      <c r="E47" s="45"/>
      <c r="F47" s="45"/>
      <c r="G47" s="46"/>
      <c r="H47" s="53">
        <f t="shared" si="1"/>
        <v>2409.0907631252503</v>
      </c>
    </row>
    <row r="48" spans="1:8" x14ac:dyDescent="0.25">
      <c r="A48" s="15" t="s">
        <v>24</v>
      </c>
      <c r="B48" s="29"/>
      <c r="C48" s="29">
        <v>1743.6635364400001</v>
      </c>
      <c r="D48" s="29"/>
      <c r="E48" s="30"/>
      <c r="F48" s="30"/>
      <c r="G48" s="30"/>
      <c r="H48" s="31">
        <f t="shared" si="1"/>
        <v>1743.6635364400001</v>
      </c>
    </row>
    <row r="49" spans="1:8" x14ac:dyDescent="0.25">
      <c r="A49" s="15" t="s">
        <v>43</v>
      </c>
      <c r="B49" s="29"/>
      <c r="C49" s="29">
        <v>72.298296671999992</v>
      </c>
      <c r="D49" s="29">
        <v>35.913202800000001</v>
      </c>
      <c r="E49" s="30"/>
      <c r="F49" s="30"/>
      <c r="G49" s="30"/>
      <c r="H49" s="31">
        <f t="shared" si="1"/>
        <v>108.21149947199999</v>
      </c>
    </row>
    <row r="50" spans="1:8" x14ac:dyDescent="0.25">
      <c r="A50" s="15" t="s">
        <v>25</v>
      </c>
      <c r="B50" s="33"/>
      <c r="C50" s="33">
        <v>13.337388875999999</v>
      </c>
      <c r="D50" s="33">
        <v>16.108897114999998</v>
      </c>
      <c r="E50" s="30"/>
      <c r="F50" s="30"/>
      <c r="G50" s="30"/>
      <c r="H50" s="34">
        <f t="shared" si="1"/>
        <v>29.446285990999996</v>
      </c>
    </row>
    <row r="51" spans="1:8" x14ac:dyDescent="0.25">
      <c r="A51" s="15" t="s">
        <v>42</v>
      </c>
      <c r="B51" s="30"/>
      <c r="C51" s="33">
        <v>387.65147404024998</v>
      </c>
      <c r="D51" s="33">
        <v>140.01933525000001</v>
      </c>
      <c r="E51" s="30"/>
      <c r="F51" s="30"/>
      <c r="G51" s="30"/>
      <c r="H51" s="34">
        <f t="shared" si="1"/>
        <v>527.67080929024996</v>
      </c>
    </row>
    <row r="52" spans="1:8" ht="13" thickBot="1" x14ac:dyDescent="0.3">
      <c r="A52" s="15" t="s">
        <v>44</v>
      </c>
      <c r="B52" s="33"/>
      <c r="C52" s="33">
        <v>9.8631932000000005E-2</v>
      </c>
      <c r="D52" s="33"/>
      <c r="E52" s="30"/>
      <c r="F52" s="30"/>
      <c r="G52" s="30"/>
      <c r="H52" s="34">
        <f t="shared" si="1"/>
        <v>9.8631932000000005E-2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workbookViewId="0">
      <selection activeCell="B38" sqref="B38:D46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78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202" t="s">
        <v>115</v>
      </c>
      <c r="B7" s="203">
        <f>SUM(B8,B18,B27,B37,B47,B53)</f>
        <v>35493.806473509372</v>
      </c>
      <c r="C7" s="203">
        <f t="shared" ref="C7:G7" si="0">SUM(C8,C18,C27,C37,C47,C53)</f>
        <v>5694.3698473380064</v>
      </c>
      <c r="D7" s="203">
        <f t="shared" si="0"/>
        <v>1305.167799282531</v>
      </c>
      <c r="E7" s="203">
        <f t="shared" si="0"/>
        <v>967.95892878350992</v>
      </c>
      <c r="F7" s="203">
        <f t="shared" si="0"/>
        <v>1.1219086120000001</v>
      </c>
      <c r="G7" s="203">
        <f t="shared" si="0"/>
        <v>41.050911620500003</v>
      </c>
      <c r="H7" s="204">
        <f>SUM(B7:G7)</f>
        <v>43503.475869145921</v>
      </c>
    </row>
    <row r="8" spans="1:8" x14ac:dyDescent="0.25">
      <c r="A8" s="14" t="s">
        <v>5</v>
      </c>
      <c r="B8" s="25">
        <f>SUM(B9,B15)</f>
        <v>30849.969515744877</v>
      </c>
      <c r="C8" s="25">
        <f>SUM(C9,C15)</f>
        <v>443.79481161625608</v>
      </c>
      <c r="D8" s="25">
        <f>SUM(D9,D15)</f>
        <v>238.14276853253097</v>
      </c>
      <c r="E8" s="26"/>
      <c r="F8" s="26"/>
      <c r="G8" s="27"/>
      <c r="H8" s="28">
        <f t="shared" ref="H8:H53" si="1">SUM(B8:G8)</f>
        <v>31531.907095893665</v>
      </c>
    </row>
    <row r="9" spans="1:8" x14ac:dyDescent="0.25">
      <c r="A9" s="15" t="s">
        <v>6</v>
      </c>
      <c r="B9" s="29">
        <f>SUM(B10:B14)</f>
        <v>30779.098357643365</v>
      </c>
      <c r="C9" s="29">
        <f>SUM(C10:C14)</f>
        <v>398.58190740067118</v>
      </c>
      <c r="D9" s="29">
        <f>SUM(D10:D14)</f>
        <v>238.12459689468096</v>
      </c>
      <c r="E9" s="30"/>
      <c r="F9" s="30"/>
      <c r="G9" s="30"/>
      <c r="H9" s="31">
        <f t="shared" si="1"/>
        <v>31415.804861938719</v>
      </c>
    </row>
    <row r="10" spans="1:8" x14ac:dyDescent="0.25">
      <c r="A10" s="32" t="s">
        <v>7</v>
      </c>
      <c r="B10" s="33">
        <v>4956.3540009151502</v>
      </c>
      <c r="C10" s="33">
        <v>7.0028182907829279</v>
      </c>
      <c r="D10" s="33">
        <v>52.258628774690678</v>
      </c>
      <c r="E10" s="30"/>
      <c r="F10" s="30"/>
      <c r="G10" s="30"/>
      <c r="H10" s="34">
        <f t="shared" si="1"/>
        <v>5015.6154479806237</v>
      </c>
    </row>
    <row r="11" spans="1:8" x14ac:dyDescent="0.25">
      <c r="A11" s="32" t="s">
        <v>8</v>
      </c>
      <c r="B11" s="33">
        <v>7486.9542290234076</v>
      </c>
      <c r="C11" s="33">
        <v>256.47717982392084</v>
      </c>
      <c r="D11" s="33">
        <v>32.445470516381562</v>
      </c>
      <c r="E11" s="30"/>
      <c r="F11" s="30"/>
      <c r="G11" s="30"/>
      <c r="H11" s="34">
        <f t="shared" si="1"/>
        <v>7775.87687936371</v>
      </c>
    </row>
    <row r="12" spans="1:8" x14ac:dyDescent="0.25">
      <c r="A12" s="32" t="s">
        <v>9</v>
      </c>
      <c r="B12" s="33">
        <v>13157.40617170481</v>
      </c>
      <c r="C12" s="35">
        <v>22.960270025967436</v>
      </c>
      <c r="D12" s="33">
        <v>128.8934496336087</v>
      </c>
      <c r="E12" s="30"/>
      <c r="F12" s="30"/>
      <c r="G12" s="30"/>
      <c r="H12" s="34">
        <f t="shared" si="1"/>
        <v>13309.259891364385</v>
      </c>
    </row>
    <row r="13" spans="1:8" x14ac:dyDescent="0.25">
      <c r="A13" s="32" t="s">
        <v>10</v>
      </c>
      <c r="B13" s="33">
        <v>5127.8969850000012</v>
      </c>
      <c r="C13" s="33">
        <v>112.11831615599999</v>
      </c>
      <c r="D13" s="33">
        <v>24.132472509999999</v>
      </c>
      <c r="E13" s="30"/>
      <c r="F13" s="30"/>
      <c r="G13" s="30"/>
      <c r="H13" s="34">
        <f t="shared" si="1"/>
        <v>5264.1477736660017</v>
      </c>
    </row>
    <row r="14" spans="1:8" x14ac:dyDescent="0.25">
      <c r="A14" s="32" t="s">
        <v>11</v>
      </c>
      <c r="B14" s="33">
        <v>50.486970999999997</v>
      </c>
      <c r="C14" s="33">
        <v>2.3323104000000001E-2</v>
      </c>
      <c r="D14" s="33">
        <v>0.39457545999999999</v>
      </c>
      <c r="E14" s="30"/>
      <c r="F14" s="30"/>
      <c r="G14" s="30"/>
      <c r="H14" s="34">
        <f t="shared" si="1"/>
        <v>50.904869563999995</v>
      </c>
    </row>
    <row r="15" spans="1:8" x14ac:dyDescent="0.25">
      <c r="A15" s="15" t="s">
        <v>12</v>
      </c>
      <c r="B15" s="33">
        <f>SUM(B16:B17)</f>
        <v>70.871158101511014</v>
      </c>
      <c r="C15" s="33">
        <f>SUM(C16:C17)</f>
        <v>45.212904215584899</v>
      </c>
      <c r="D15" s="33">
        <f>SUM(D16:D17)</f>
        <v>1.8171637849994916E-2</v>
      </c>
      <c r="E15" s="30"/>
      <c r="F15" s="30"/>
      <c r="G15" s="30"/>
      <c r="H15" s="34">
        <f t="shared" si="1"/>
        <v>116.1022339549459</v>
      </c>
    </row>
    <row r="16" spans="1:8" x14ac:dyDescent="0.25">
      <c r="A16" s="32" t="s">
        <v>13</v>
      </c>
      <c r="B16" s="33"/>
      <c r="C16" s="33"/>
      <c r="D16" s="33"/>
      <c r="E16" s="30"/>
      <c r="F16" s="30"/>
      <c r="G16" s="30"/>
      <c r="H16" s="34">
        <f t="shared" si="1"/>
        <v>0</v>
      </c>
    </row>
    <row r="17" spans="1:8" ht="13" thickBot="1" x14ac:dyDescent="0.3">
      <c r="A17" s="36" t="s">
        <v>14</v>
      </c>
      <c r="B17" s="37">
        <v>70.871158101511014</v>
      </c>
      <c r="C17" s="37">
        <v>45.212904215584899</v>
      </c>
      <c r="D17" s="37">
        <v>1.8171637849994916E-2</v>
      </c>
      <c r="E17" s="38"/>
      <c r="F17" s="38"/>
      <c r="G17" s="38"/>
      <c r="H17" s="39">
        <f t="shared" si="1"/>
        <v>116.1022339549459</v>
      </c>
    </row>
    <row r="18" spans="1:8" x14ac:dyDescent="0.25">
      <c r="A18" s="14" t="s">
        <v>15</v>
      </c>
      <c r="B18" s="40">
        <f t="shared" ref="B18:G18" si="2">SUM(B19:B26)</f>
        <v>4628.2649917644912</v>
      </c>
      <c r="C18" s="40">
        <f t="shared" si="2"/>
        <v>111.35798542400001</v>
      </c>
      <c r="D18" s="40">
        <f t="shared" si="2"/>
        <v>78.461150445000001</v>
      </c>
      <c r="E18" s="40">
        <f t="shared" si="2"/>
        <v>967.95892878350992</v>
      </c>
      <c r="F18" s="40">
        <f t="shared" si="2"/>
        <v>1.1219086120000001</v>
      </c>
      <c r="G18" s="41">
        <f t="shared" si="2"/>
        <v>41.050911620500003</v>
      </c>
      <c r="H18" s="28">
        <f t="shared" si="1"/>
        <v>5828.2158766495013</v>
      </c>
    </row>
    <row r="19" spans="1:8" x14ac:dyDescent="0.25">
      <c r="A19" s="15" t="s">
        <v>16</v>
      </c>
      <c r="B19" s="29">
        <v>2363.0359253981728</v>
      </c>
      <c r="C19" s="29"/>
      <c r="D19" s="29"/>
      <c r="E19" s="42"/>
      <c r="F19" s="42"/>
      <c r="G19" s="42"/>
      <c r="H19" s="31">
        <f t="shared" si="1"/>
        <v>2363.0359253981728</v>
      </c>
    </row>
    <row r="20" spans="1:8" x14ac:dyDescent="0.25">
      <c r="A20" s="15" t="s">
        <v>17</v>
      </c>
      <c r="B20" s="33">
        <v>2157.8990792143177</v>
      </c>
      <c r="C20" s="33">
        <v>111.35798542400001</v>
      </c>
      <c r="D20" s="33">
        <v>20.434089050000001</v>
      </c>
      <c r="E20" s="33"/>
      <c r="F20" s="33"/>
      <c r="G20" s="33"/>
      <c r="H20" s="34">
        <f t="shared" si="1"/>
        <v>2289.6911536883176</v>
      </c>
    </row>
    <row r="21" spans="1:8" x14ac:dyDescent="0.25">
      <c r="A21" s="15" t="s">
        <v>18</v>
      </c>
      <c r="B21" s="33">
        <v>44.742036152000004</v>
      </c>
      <c r="C21" s="33"/>
      <c r="D21" s="33"/>
      <c r="E21" s="30"/>
      <c r="F21" s="33"/>
      <c r="G21" s="43"/>
      <c r="H21" s="34">
        <f t="shared" si="1"/>
        <v>44.742036152000004</v>
      </c>
    </row>
    <row r="22" spans="1:8" x14ac:dyDescent="0.25">
      <c r="A22" s="15" t="s">
        <v>32</v>
      </c>
      <c r="B22" s="33">
        <v>62.587950999999997</v>
      </c>
      <c r="C22" s="33"/>
      <c r="D22" s="33"/>
      <c r="E22" s="30"/>
      <c r="F22" s="30"/>
      <c r="G22" s="30"/>
      <c r="H22" s="34">
        <f t="shared" si="1"/>
        <v>62.587950999999997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967.95892878350992</v>
      </c>
      <c r="F24" s="33">
        <v>1.1219086120000001</v>
      </c>
      <c r="G24" s="33"/>
      <c r="H24" s="34">
        <f t="shared" si="1"/>
        <v>969.08083739550989</v>
      </c>
    </row>
    <row r="25" spans="1:8" x14ac:dyDescent="0.25">
      <c r="A25" s="15" t="s">
        <v>34</v>
      </c>
      <c r="B25" s="33"/>
      <c r="C25" s="33"/>
      <c r="D25" s="33">
        <v>58.027061395000004</v>
      </c>
      <c r="E25" s="33"/>
      <c r="F25" s="33"/>
      <c r="G25" s="33">
        <v>41.050911620500003</v>
      </c>
      <c r="H25" s="34">
        <f t="shared" si="1"/>
        <v>99.077973015500007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15.571966</v>
      </c>
      <c r="C27" s="40">
        <f>SUM(C28:C36)</f>
        <v>2973.0746098760001</v>
      </c>
      <c r="D27" s="40">
        <f>SUM(D28:D36)</f>
        <v>803.6476760999999</v>
      </c>
      <c r="E27" s="45"/>
      <c r="F27" s="45"/>
      <c r="G27" s="46"/>
      <c r="H27" s="28">
        <f t="shared" si="1"/>
        <v>3792.2942519759999</v>
      </c>
    </row>
    <row r="28" spans="1:8" x14ac:dyDescent="0.25">
      <c r="A28" s="15" t="s">
        <v>19</v>
      </c>
      <c r="B28" s="42"/>
      <c r="C28" s="29">
        <v>1254.8608478840001</v>
      </c>
      <c r="D28" s="47"/>
      <c r="E28" s="30"/>
      <c r="F28" s="30"/>
      <c r="G28" s="30"/>
      <c r="H28" s="31">
        <f t="shared" si="1"/>
        <v>1254.8608478840001</v>
      </c>
    </row>
    <row r="29" spans="1:8" x14ac:dyDescent="0.25">
      <c r="A29" s="15" t="s">
        <v>20</v>
      </c>
      <c r="B29" s="30"/>
      <c r="C29" s="33">
        <v>1601.1674671159999</v>
      </c>
      <c r="D29" s="33">
        <v>330.25882261999999</v>
      </c>
      <c r="E29" s="30"/>
      <c r="F29" s="30"/>
      <c r="G29" s="30"/>
      <c r="H29" s="34">
        <f t="shared" si="1"/>
        <v>1931.4262897359999</v>
      </c>
    </row>
    <row r="30" spans="1:8" x14ac:dyDescent="0.25">
      <c r="A30" s="15" t="s">
        <v>21</v>
      </c>
      <c r="B30" s="30"/>
      <c r="C30" s="33">
        <v>116.381553064</v>
      </c>
      <c r="D30" s="48"/>
      <c r="E30" s="30"/>
      <c r="F30" s="30"/>
      <c r="G30" s="30"/>
      <c r="H30" s="34">
        <f t="shared" si="1"/>
        <v>116.381553064</v>
      </c>
    </row>
    <row r="31" spans="1:8" x14ac:dyDescent="0.25">
      <c r="A31" s="15" t="s">
        <v>22</v>
      </c>
      <c r="B31" s="49"/>
      <c r="C31" s="33"/>
      <c r="D31" s="33">
        <v>473.22574571500002</v>
      </c>
      <c r="E31" s="30"/>
      <c r="F31" s="30"/>
      <c r="G31" s="30"/>
      <c r="H31" s="34">
        <f t="shared" si="1"/>
        <v>473.22574571500002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0.66474181200000004</v>
      </c>
      <c r="D33" s="33">
        <v>0.16310776500000002</v>
      </c>
      <c r="E33" s="30"/>
      <c r="F33" s="30"/>
      <c r="G33" s="30"/>
      <c r="H33" s="34">
        <f t="shared" si="1"/>
        <v>0.82784957700000006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13.556711999999999</v>
      </c>
      <c r="C35" s="50"/>
      <c r="D35" s="50"/>
      <c r="E35" s="51"/>
      <c r="F35" s="51"/>
      <c r="G35" s="51"/>
      <c r="H35" s="52">
        <f t="shared" si="1"/>
        <v>13.556711999999999</v>
      </c>
    </row>
    <row r="36" spans="1:8" ht="13" thickBot="1" x14ac:dyDescent="0.3">
      <c r="A36" s="16" t="s">
        <v>48</v>
      </c>
      <c r="B36" s="37">
        <v>2.0152539999999997</v>
      </c>
      <c r="C36" s="37"/>
      <c r="D36" s="37"/>
      <c r="E36" s="38"/>
      <c r="F36" s="38"/>
      <c r="G36" s="38"/>
      <c r="H36" s="39">
        <f t="shared" si="1"/>
        <v>2.0152539999999997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2166.1424404217501</v>
      </c>
      <c r="D47" s="40">
        <f>SUM(D48:D52)</f>
        <v>184.91620420499999</v>
      </c>
      <c r="E47" s="45"/>
      <c r="F47" s="45"/>
      <c r="G47" s="46"/>
      <c r="H47" s="53">
        <f t="shared" si="1"/>
        <v>2351.0586446267498</v>
      </c>
    </row>
    <row r="48" spans="1:8" x14ac:dyDescent="0.25">
      <c r="A48" s="15" t="s">
        <v>24</v>
      </c>
      <c r="B48" s="29"/>
      <c r="C48" s="29">
        <v>1686.5709259560003</v>
      </c>
      <c r="D48" s="29"/>
      <c r="E48" s="30"/>
      <c r="F48" s="30"/>
      <c r="G48" s="30"/>
      <c r="H48" s="31">
        <f t="shared" si="1"/>
        <v>1686.5709259560003</v>
      </c>
    </row>
    <row r="49" spans="1:8" x14ac:dyDescent="0.25">
      <c r="A49" s="15" t="s">
        <v>43</v>
      </c>
      <c r="B49" s="29"/>
      <c r="C49" s="29">
        <v>61.627812624000001</v>
      </c>
      <c r="D49" s="29">
        <v>30.406333199999999</v>
      </c>
      <c r="E49" s="30"/>
      <c r="F49" s="30"/>
      <c r="G49" s="30"/>
      <c r="H49" s="31">
        <f t="shared" si="1"/>
        <v>92.034145824000007</v>
      </c>
    </row>
    <row r="50" spans="1:8" x14ac:dyDescent="0.25">
      <c r="A50" s="15" t="s">
        <v>25</v>
      </c>
      <c r="B50" s="33"/>
      <c r="C50" s="33">
        <v>10.2510177</v>
      </c>
      <c r="D50" s="33">
        <v>14.084735954999999</v>
      </c>
      <c r="E50" s="30"/>
      <c r="F50" s="30"/>
      <c r="G50" s="30"/>
      <c r="H50" s="34">
        <f t="shared" si="1"/>
        <v>24.335753654999998</v>
      </c>
    </row>
    <row r="51" spans="1:8" x14ac:dyDescent="0.25">
      <c r="A51" s="15" t="s">
        <v>42</v>
      </c>
      <c r="B51" s="30"/>
      <c r="C51" s="33">
        <v>407.59435259374999</v>
      </c>
      <c r="D51" s="33">
        <v>140.42513504999999</v>
      </c>
      <c r="E51" s="30"/>
      <c r="F51" s="30"/>
      <c r="G51" s="30"/>
      <c r="H51" s="34">
        <f t="shared" si="1"/>
        <v>548.01948764374993</v>
      </c>
    </row>
    <row r="52" spans="1:8" ht="13" thickBot="1" x14ac:dyDescent="0.3">
      <c r="A52" s="15" t="s">
        <v>44</v>
      </c>
      <c r="B52" s="33"/>
      <c r="C52" s="33">
        <v>9.8331548000000005E-2</v>
      </c>
      <c r="D52" s="33"/>
      <c r="E52" s="30"/>
      <c r="F52" s="30"/>
      <c r="G52" s="30"/>
      <c r="H52" s="34">
        <f t="shared" si="1"/>
        <v>9.8331548000000005E-2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ageMargins left="0.74803149606299213" right="0.74803149606299213" top="0.98425196850393704" bottom="0.98425196850393704" header="0" footer="0"/>
  <pageSetup paperSize="9" scale="66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77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35338.156898042733</v>
      </c>
      <c r="C7" s="203">
        <f t="shared" ref="C7:G7" si="0">SUM(C8,C18,C27,C37,C47,C53)</f>
        <v>5938.103204776784</v>
      </c>
      <c r="D7" s="203">
        <f t="shared" si="0"/>
        <v>1300.6263622837141</v>
      </c>
      <c r="E7" s="203">
        <f t="shared" si="0"/>
        <v>1128.8590959706191</v>
      </c>
      <c r="F7" s="203">
        <f t="shared" si="0"/>
        <v>1.3295525934999999</v>
      </c>
      <c r="G7" s="203">
        <f t="shared" si="0"/>
        <v>40.772714413999999</v>
      </c>
      <c r="H7" s="204">
        <f>SUM(B7:G7)</f>
        <v>43747.847828081358</v>
      </c>
    </row>
    <row r="8" spans="1:8" ht="13" thickTop="1" x14ac:dyDescent="0.25">
      <c r="A8" s="14" t="s">
        <v>5</v>
      </c>
      <c r="B8" s="25">
        <f>SUM(B9,B15)</f>
        <v>30645.899711947062</v>
      </c>
      <c r="C8" s="25">
        <f>SUM(C9,C15)</f>
        <v>422.41334020903514</v>
      </c>
      <c r="D8" s="25">
        <f>SUM(D9,D15)</f>
        <v>239.49678865371411</v>
      </c>
      <c r="E8" s="26"/>
      <c r="F8" s="26"/>
      <c r="G8" s="27"/>
      <c r="H8" s="28">
        <f t="shared" ref="H8:H53" si="1">SUM(B8:G8)</f>
        <v>31307.809840809809</v>
      </c>
    </row>
    <row r="9" spans="1:8" x14ac:dyDescent="0.25">
      <c r="A9" s="15" t="s">
        <v>6</v>
      </c>
      <c r="B9" s="29">
        <f>SUM(B10:B14)</f>
        <v>30612.461459722141</v>
      </c>
      <c r="C9" s="29">
        <f>SUM(C10:C14)</f>
        <v>383.33983878468445</v>
      </c>
      <c r="D9" s="29">
        <f>SUM(D10:D14)</f>
        <v>239.47114563842354</v>
      </c>
      <c r="E9" s="30"/>
      <c r="F9" s="30"/>
      <c r="G9" s="30"/>
      <c r="H9" s="31">
        <f t="shared" si="1"/>
        <v>31235.272444145248</v>
      </c>
    </row>
    <row r="10" spans="1:8" x14ac:dyDescent="0.25">
      <c r="A10" s="32" t="s">
        <v>7</v>
      </c>
      <c r="B10" s="33">
        <v>5403.5459201224057</v>
      </c>
      <c r="C10" s="33">
        <v>7.3925542380734655</v>
      </c>
      <c r="D10" s="33">
        <v>58.129048113237822</v>
      </c>
      <c r="E10" s="30"/>
      <c r="F10" s="30"/>
      <c r="G10" s="30"/>
      <c r="H10" s="34">
        <f t="shared" si="1"/>
        <v>5469.0675224737179</v>
      </c>
    </row>
    <row r="11" spans="1:8" x14ac:dyDescent="0.25">
      <c r="A11" s="32" t="s">
        <v>8</v>
      </c>
      <c r="B11" s="33">
        <v>7215.1156154153523</v>
      </c>
      <c r="C11" s="33">
        <v>241.96626398866081</v>
      </c>
      <c r="D11" s="33">
        <v>31.389273456168901</v>
      </c>
      <c r="E11" s="30"/>
      <c r="F11" s="30"/>
      <c r="G11" s="30"/>
      <c r="H11" s="34">
        <f t="shared" si="1"/>
        <v>7488.471152860182</v>
      </c>
    </row>
    <row r="12" spans="1:8" x14ac:dyDescent="0.25">
      <c r="A12" s="32" t="s">
        <v>9</v>
      </c>
      <c r="B12" s="33">
        <v>13097.271759184385</v>
      </c>
      <c r="C12" s="35">
        <v>22.356976305950134</v>
      </c>
      <c r="D12" s="33">
        <v>125.56512873401682</v>
      </c>
      <c r="E12" s="30"/>
      <c r="F12" s="30"/>
      <c r="G12" s="30"/>
      <c r="H12" s="34">
        <f t="shared" si="1"/>
        <v>13245.193864224351</v>
      </c>
    </row>
    <row r="13" spans="1:8" x14ac:dyDescent="0.25">
      <c r="A13" s="32" t="s">
        <v>10</v>
      </c>
      <c r="B13" s="33">
        <v>4838.923119000001</v>
      </c>
      <c r="C13" s="33">
        <v>111.60015353200001</v>
      </c>
      <c r="D13" s="33">
        <v>23.946264165000002</v>
      </c>
      <c r="E13" s="30"/>
      <c r="F13" s="30"/>
      <c r="G13" s="30"/>
      <c r="H13" s="34">
        <f t="shared" si="1"/>
        <v>4974.4695366970009</v>
      </c>
    </row>
    <row r="14" spans="1:8" x14ac:dyDescent="0.25">
      <c r="A14" s="32" t="s">
        <v>11</v>
      </c>
      <c r="B14" s="33">
        <v>57.605046000000002</v>
      </c>
      <c r="C14" s="33">
        <v>2.3890720000000001E-2</v>
      </c>
      <c r="D14" s="33">
        <v>0.44143116999999998</v>
      </c>
      <c r="E14" s="30"/>
      <c r="F14" s="30"/>
      <c r="G14" s="30"/>
      <c r="H14" s="34">
        <f t="shared" si="1"/>
        <v>58.07036789</v>
      </c>
    </row>
    <row r="15" spans="1:8" x14ac:dyDescent="0.25">
      <c r="A15" s="15" t="s">
        <v>12</v>
      </c>
      <c r="B15" s="33">
        <f>SUM(B16:B17)</f>
        <v>33.438252224920937</v>
      </c>
      <c r="C15" s="33">
        <f>SUM(C16:C17)</f>
        <v>39.073501424350688</v>
      </c>
      <c r="D15" s="33">
        <f>SUM(D16:D17)</f>
        <v>2.5643015290583011E-2</v>
      </c>
      <c r="E15" s="30"/>
      <c r="F15" s="30"/>
      <c r="G15" s="30"/>
      <c r="H15" s="34">
        <f t="shared" si="1"/>
        <v>72.537396664562209</v>
      </c>
    </row>
    <row r="16" spans="1:8" x14ac:dyDescent="0.25">
      <c r="A16" s="32" t="s">
        <v>13</v>
      </c>
      <c r="B16" s="33"/>
      <c r="C16" s="33"/>
      <c r="D16" s="33"/>
      <c r="E16" s="30"/>
      <c r="F16" s="30"/>
      <c r="G16" s="30"/>
      <c r="H16" s="34">
        <f t="shared" si="1"/>
        <v>0</v>
      </c>
    </row>
    <row r="17" spans="1:8" ht="13" thickBot="1" x14ac:dyDescent="0.3">
      <c r="A17" s="36" t="s">
        <v>14</v>
      </c>
      <c r="B17" s="37">
        <v>33.438252224920937</v>
      </c>
      <c r="C17" s="37">
        <v>39.073501424350688</v>
      </c>
      <c r="D17" s="37">
        <v>2.5643015290583011E-2</v>
      </c>
      <c r="E17" s="38"/>
      <c r="F17" s="38"/>
      <c r="G17" s="38"/>
      <c r="H17" s="39">
        <f t="shared" si="1"/>
        <v>72.537396664562209</v>
      </c>
    </row>
    <row r="18" spans="1:8" x14ac:dyDescent="0.25">
      <c r="A18" s="14" t="s">
        <v>15</v>
      </c>
      <c r="B18" s="40">
        <f t="shared" ref="B18:G18" si="2">SUM(B19:B26)</f>
        <v>4674.3801090956704</v>
      </c>
      <c r="C18" s="40">
        <f t="shared" si="2"/>
        <v>112.34507928000001</v>
      </c>
      <c r="D18" s="40">
        <f t="shared" si="2"/>
        <v>65.003499625000003</v>
      </c>
      <c r="E18" s="40">
        <f t="shared" si="2"/>
        <v>1128.8590959706191</v>
      </c>
      <c r="F18" s="40">
        <f t="shared" si="2"/>
        <v>1.3295525934999999</v>
      </c>
      <c r="G18" s="41">
        <f t="shared" si="2"/>
        <v>40.772714413999999</v>
      </c>
      <c r="H18" s="28">
        <f t="shared" si="1"/>
        <v>6022.6900509787893</v>
      </c>
    </row>
    <row r="19" spans="1:8" x14ac:dyDescent="0.25">
      <c r="A19" s="15" t="s">
        <v>16</v>
      </c>
      <c r="B19" s="29">
        <v>2415.5955299972356</v>
      </c>
      <c r="C19" s="29"/>
      <c r="D19" s="29"/>
      <c r="E19" s="42"/>
      <c r="F19" s="42"/>
      <c r="G19" s="42"/>
      <c r="H19" s="31">
        <f t="shared" si="1"/>
        <v>2415.5955299972356</v>
      </c>
    </row>
    <row r="20" spans="1:8" x14ac:dyDescent="0.25">
      <c r="A20" s="15" t="s">
        <v>17</v>
      </c>
      <c r="B20" s="33">
        <v>2155.8118370843763</v>
      </c>
      <c r="C20" s="33">
        <v>112.34507928000001</v>
      </c>
      <c r="D20" s="33">
        <v>16.5625</v>
      </c>
      <c r="E20" s="33"/>
      <c r="F20" s="33"/>
      <c r="G20" s="33"/>
      <c r="H20" s="34">
        <f t="shared" si="1"/>
        <v>2284.7194163643762</v>
      </c>
    </row>
    <row r="21" spans="1:8" x14ac:dyDescent="0.25">
      <c r="A21" s="15" t="s">
        <v>18</v>
      </c>
      <c r="B21" s="33">
        <v>41.0238530140576</v>
      </c>
      <c r="C21" s="33"/>
      <c r="D21" s="33"/>
      <c r="E21" s="30"/>
      <c r="F21" s="33"/>
      <c r="G21" s="43"/>
      <c r="H21" s="34">
        <f t="shared" si="1"/>
        <v>41.0238530140576</v>
      </c>
    </row>
    <row r="22" spans="1:8" x14ac:dyDescent="0.25">
      <c r="A22" s="15" t="s">
        <v>32</v>
      </c>
      <c r="B22" s="33">
        <v>61.948888999999994</v>
      </c>
      <c r="C22" s="33"/>
      <c r="D22" s="33"/>
      <c r="E22" s="30"/>
      <c r="F22" s="30"/>
      <c r="G22" s="30"/>
      <c r="H22" s="34">
        <f t="shared" si="1"/>
        <v>61.948888999999994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1128.8590959706191</v>
      </c>
      <c r="F24" s="33">
        <v>1.3295525934999999</v>
      </c>
      <c r="G24" s="33"/>
      <c r="H24" s="34">
        <f t="shared" si="1"/>
        <v>1130.1886485641191</v>
      </c>
    </row>
    <row r="25" spans="1:8" x14ac:dyDescent="0.25">
      <c r="A25" s="15" t="s">
        <v>34</v>
      </c>
      <c r="B25" s="33"/>
      <c r="C25" s="33"/>
      <c r="D25" s="33">
        <v>48.440999625000003</v>
      </c>
      <c r="E25" s="33"/>
      <c r="F25" s="33"/>
      <c r="G25" s="33">
        <v>40.772714413999999</v>
      </c>
      <c r="H25" s="34">
        <f t="shared" si="1"/>
        <v>89.213714038999996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17.877077</v>
      </c>
      <c r="C27" s="40">
        <f>SUM(C28:C36)</f>
        <v>2931.6081929679999</v>
      </c>
      <c r="D27" s="40">
        <f>SUM(D28:D36)</f>
        <v>800.16124971000011</v>
      </c>
      <c r="E27" s="45"/>
      <c r="F27" s="45"/>
      <c r="G27" s="46"/>
      <c r="H27" s="28">
        <f t="shared" si="1"/>
        <v>3749.646519678</v>
      </c>
    </row>
    <row r="28" spans="1:8" x14ac:dyDescent="0.25">
      <c r="A28" s="15" t="s">
        <v>19</v>
      </c>
      <c r="B28" s="42"/>
      <c r="C28" s="29">
        <v>1213.896369392</v>
      </c>
      <c r="D28" s="47"/>
      <c r="E28" s="30"/>
      <c r="F28" s="30"/>
      <c r="G28" s="30"/>
      <c r="H28" s="31">
        <f t="shared" si="1"/>
        <v>1213.896369392</v>
      </c>
    </row>
    <row r="29" spans="1:8" x14ac:dyDescent="0.25">
      <c r="A29" s="15" t="s">
        <v>20</v>
      </c>
      <c r="B29" s="30"/>
      <c r="C29" s="33">
        <v>1602.5953387639997</v>
      </c>
      <c r="D29" s="33">
        <v>325.650408755</v>
      </c>
      <c r="E29" s="30"/>
      <c r="F29" s="30"/>
      <c r="G29" s="30"/>
      <c r="H29" s="34">
        <f t="shared" si="1"/>
        <v>1928.2457475189997</v>
      </c>
    </row>
    <row r="30" spans="1:8" x14ac:dyDescent="0.25">
      <c r="A30" s="15" t="s">
        <v>21</v>
      </c>
      <c r="B30" s="30"/>
      <c r="C30" s="33">
        <v>114.36941616799999</v>
      </c>
      <c r="D30" s="48"/>
      <c r="E30" s="30"/>
      <c r="F30" s="30"/>
      <c r="G30" s="30"/>
      <c r="H30" s="34">
        <f t="shared" si="1"/>
        <v>114.36941616799999</v>
      </c>
    </row>
    <row r="31" spans="1:8" x14ac:dyDescent="0.25">
      <c r="A31" s="15" t="s">
        <v>22</v>
      </c>
      <c r="B31" s="49"/>
      <c r="C31" s="33"/>
      <c r="D31" s="33">
        <v>474.32753250500002</v>
      </c>
      <c r="E31" s="30"/>
      <c r="F31" s="30"/>
      <c r="G31" s="30"/>
      <c r="H31" s="34">
        <f t="shared" si="1"/>
        <v>474.32753250500002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0.74706864399999995</v>
      </c>
      <c r="D33" s="33">
        <v>0.18330845000000001</v>
      </c>
      <c r="E33" s="30"/>
      <c r="F33" s="30"/>
      <c r="G33" s="30"/>
      <c r="H33" s="34">
        <f t="shared" si="1"/>
        <v>0.93037709400000002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16.453737</v>
      </c>
      <c r="C35" s="50"/>
      <c r="D35" s="50"/>
      <c r="E35" s="51"/>
      <c r="F35" s="51"/>
      <c r="G35" s="51"/>
      <c r="H35" s="52">
        <f t="shared" si="1"/>
        <v>16.453737</v>
      </c>
    </row>
    <row r="36" spans="1:8" ht="13" thickBot="1" x14ac:dyDescent="0.3">
      <c r="A36" s="16" t="s">
        <v>48</v>
      </c>
      <c r="B36" s="37">
        <v>1.42334</v>
      </c>
      <c r="C36" s="37"/>
      <c r="D36" s="37"/>
      <c r="E36" s="38"/>
      <c r="F36" s="38"/>
      <c r="G36" s="38"/>
      <c r="H36" s="39">
        <f t="shared" si="1"/>
        <v>1.42334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2471.7365923197494</v>
      </c>
      <c r="D47" s="40">
        <f>SUM(D48:D52)</f>
        <v>195.964824295</v>
      </c>
      <c r="E47" s="45"/>
      <c r="F47" s="45"/>
      <c r="G47" s="46"/>
      <c r="H47" s="53">
        <f t="shared" si="1"/>
        <v>2667.7014166147496</v>
      </c>
    </row>
    <row r="48" spans="1:8" x14ac:dyDescent="0.25">
      <c r="A48" s="15" t="s">
        <v>24</v>
      </c>
      <c r="B48" s="29"/>
      <c r="C48" s="29">
        <v>1975.2940019399998</v>
      </c>
      <c r="D48" s="29"/>
      <c r="E48" s="30"/>
      <c r="F48" s="30"/>
      <c r="G48" s="30"/>
      <c r="H48" s="31">
        <f t="shared" si="1"/>
        <v>1975.2940019399998</v>
      </c>
    </row>
    <row r="49" spans="1:8" x14ac:dyDescent="0.25">
      <c r="A49" s="15" t="s">
        <v>43</v>
      </c>
      <c r="B49" s="29"/>
      <c r="C49" s="29">
        <v>79.750917119999997</v>
      </c>
      <c r="D49" s="29">
        <v>40.795393199999999</v>
      </c>
      <c r="E49" s="30"/>
      <c r="F49" s="30"/>
      <c r="G49" s="30"/>
      <c r="H49" s="31">
        <f t="shared" si="1"/>
        <v>120.54631032</v>
      </c>
    </row>
    <row r="50" spans="1:8" x14ac:dyDescent="0.25">
      <c r="A50" s="15" t="s">
        <v>25</v>
      </c>
      <c r="B50" s="33"/>
      <c r="C50" s="33">
        <v>12.56084662</v>
      </c>
      <c r="D50" s="33">
        <v>15.808734794999999</v>
      </c>
      <c r="E50" s="30"/>
      <c r="F50" s="30"/>
      <c r="G50" s="30"/>
      <c r="H50" s="34">
        <f t="shared" si="1"/>
        <v>28.369581414999999</v>
      </c>
    </row>
    <row r="51" spans="1:8" x14ac:dyDescent="0.25">
      <c r="A51" s="15" t="s">
        <v>42</v>
      </c>
      <c r="B51" s="30"/>
      <c r="C51" s="33">
        <v>404.03249509174998</v>
      </c>
      <c r="D51" s="33">
        <v>139.3606963</v>
      </c>
      <c r="E51" s="30"/>
      <c r="F51" s="30"/>
      <c r="G51" s="30"/>
      <c r="H51" s="34">
        <f t="shared" si="1"/>
        <v>543.39319139174995</v>
      </c>
    </row>
    <row r="52" spans="1:8" ht="13" thickBot="1" x14ac:dyDescent="0.3">
      <c r="A52" s="15" t="s">
        <v>44</v>
      </c>
      <c r="B52" s="33"/>
      <c r="C52" s="33">
        <v>9.8331547999999991E-2</v>
      </c>
      <c r="D52" s="33"/>
      <c r="E52" s="30"/>
      <c r="F52" s="30"/>
      <c r="G52" s="30"/>
      <c r="H52" s="34">
        <f t="shared" si="1"/>
        <v>9.8331547999999991E-2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opLeftCell="A7" workbookViewId="0">
      <selection activeCell="B38" sqref="B38:D46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76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34114.56720039327</v>
      </c>
      <c r="C7" s="203">
        <f t="shared" ref="C7:G7" si="0">SUM(C8,C18,C27,C37,C47,C53)</f>
        <v>6243.0959663740105</v>
      </c>
      <c r="D7" s="203">
        <f t="shared" si="0"/>
        <v>1246.5014118580641</v>
      </c>
      <c r="E7" s="203">
        <f t="shared" si="0"/>
        <v>1376.6528460140128</v>
      </c>
      <c r="F7" s="203">
        <f t="shared" si="0"/>
        <v>0.91296731170000001</v>
      </c>
      <c r="G7" s="203">
        <f t="shared" si="0"/>
        <v>42.377041483499994</v>
      </c>
      <c r="H7" s="204">
        <f>SUM(B7:G7)</f>
        <v>43024.107433434554</v>
      </c>
    </row>
    <row r="8" spans="1:8" ht="13" thickTop="1" x14ac:dyDescent="0.25">
      <c r="A8" s="14" t="s">
        <v>5</v>
      </c>
      <c r="B8" s="25">
        <f>SUM(B9,B15)</f>
        <v>29626.21833915055</v>
      </c>
      <c r="C8" s="25">
        <f>SUM(C9,C15)</f>
        <v>409.07815004975947</v>
      </c>
      <c r="D8" s="25">
        <f>SUM(D9,D15)</f>
        <v>224.88162235306419</v>
      </c>
      <c r="E8" s="26"/>
      <c r="F8" s="26"/>
      <c r="G8" s="27"/>
      <c r="H8" s="28">
        <f t="shared" ref="H8:H53" si="1">SUM(B8:G8)</f>
        <v>30260.17811155337</v>
      </c>
    </row>
    <row r="9" spans="1:8" x14ac:dyDescent="0.25">
      <c r="A9" s="15" t="s">
        <v>6</v>
      </c>
      <c r="B9" s="29">
        <f>SUM(B10:B14)</f>
        <v>29569.543552533447</v>
      </c>
      <c r="C9" s="29">
        <f>SUM(C10:C14)</f>
        <v>361.5402573754688</v>
      </c>
      <c r="D9" s="29">
        <f>SUM(D10:D14)</f>
        <v>224.85272100137004</v>
      </c>
      <c r="E9" s="30"/>
      <c r="F9" s="30"/>
      <c r="G9" s="30"/>
      <c r="H9" s="31">
        <f t="shared" si="1"/>
        <v>30155.936530910287</v>
      </c>
    </row>
    <row r="10" spans="1:8" x14ac:dyDescent="0.25">
      <c r="A10" s="32" t="s">
        <v>7</v>
      </c>
      <c r="B10" s="33">
        <v>5066.1537146930996</v>
      </c>
      <c r="C10" s="33">
        <v>6.8821804821938466</v>
      </c>
      <c r="D10" s="33">
        <v>53.137736049889774</v>
      </c>
      <c r="E10" s="30"/>
      <c r="F10" s="30"/>
      <c r="G10" s="30"/>
      <c r="H10" s="34">
        <f t="shared" si="1"/>
        <v>5126.1736312251833</v>
      </c>
    </row>
    <row r="11" spans="1:8" x14ac:dyDescent="0.25">
      <c r="A11" s="32" t="s">
        <v>8</v>
      </c>
      <c r="B11" s="33">
        <v>6945.2835749168335</v>
      </c>
      <c r="C11" s="33">
        <v>223.44824041719991</v>
      </c>
      <c r="D11" s="33">
        <v>28.643145832210621</v>
      </c>
      <c r="E11" s="30"/>
      <c r="F11" s="30"/>
      <c r="G11" s="30"/>
      <c r="H11" s="34">
        <f t="shared" si="1"/>
        <v>7197.3749611662433</v>
      </c>
    </row>
    <row r="12" spans="1:8" x14ac:dyDescent="0.25">
      <c r="A12" s="32" t="s">
        <v>9</v>
      </c>
      <c r="B12" s="33">
        <v>12711.173515923516</v>
      </c>
      <c r="C12" s="35">
        <v>22.089945624074964</v>
      </c>
      <c r="D12" s="33">
        <v>118.69770462926967</v>
      </c>
      <c r="E12" s="30"/>
      <c r="F12" s="30"/>
      <c r="G12" s="30"/>
      <c r="H12" s="34">
        <f t="shared" si="1"/>
        <v>12851.961166176861</v>
      </c>
    </row>
    <row r="13" spans="1:8" x14ac:dyDescent="0.25">
      <c r="A13" s="32" t="s">
        <v>10</v>
      </c>
      <c r="B13" s="33">
        <v>4790.3081149999998</v>
      </c>
      <c r="C13" s="33">
        <v>109.09673068000001</v>
      </c>
      <c r="D13" s="33">
        <v>23.939296519999999</v>
      </c>
      <c r="E13" s="30"/>
      <c r="F13" s="30"/>
      <c r="G13" s="30"/>
      <c r="H13" s="34">
        <f t="shared" si="1"/>
        <v>4923.3441422000005</v>
      </c>
    </row>
    <row r="14" spans="1:8" x14ac:dyDescent="0.25">
      <c r="A14" s="32" t="s">
        <v>11</v>
      </c>
      <c r="B14" s="33">
        <v>56.624631999999998</v>
      </c>
      <c r="C14" s="33">
        <v>2.3160172E-2</v>
      </c>
      <c r="D14" s="33">
        <v>0.43483797000000002</v>
      </c>
      <c r="E14" s="30"/>
      <c r="F14" s="30"/>
      <c r="G14" s="30"/>
      <c r="H14" s="34">
        <f t="shared" si="1"/>
        <v>57.082630141999992</v>
      </c>
    </row>
    <row r="15" spans="1:8" x14ac:dyDescent="0.25">
      <c r="A15" s="15" t="s">
        <v>12</v>
      </c>
      <c r="B15" s="33">
        <f>SUM(B16:B17)</f>
        <v>56.67478661710264</v>
      </c>
      <c r="C15" s="33">
        <f>SUM(C16:C17)</f>
        <v>47.537892674290653</v>
      </c>
      <c r="D15" s="33">
        <f>SUM(D16:D17)</f>
        <v>2.8901351694135158E-2</v>
      </c>
      <c r="E15" s="30"/>
      <c r="F15" s="30"/>
      <c r="G15" s="30"/>
      <c r="H15" s="34">
        <f t="shared" si="1"/>
        <v>104.24158064308743</v>
      </c>
    </row>
    <row r="16" spans="1:8" x14ac:dyDescent="0.25">
      <c r="A16" s="32" t="s">
        <v>13</v>
      </c>
      <c r="B16" s="33"/>
      <c r="C16" s="33"/>
      <c r="D16" s="33"/>
      <c r="E16" s="30"/>
      <c r="F16" s="30"/>
      <c r="G16" s="30"/>
      <c r="H16" s="34">
        <f t="shared" si="1"/>
        <v>0</v>
      </c>
    </row>
    <row r="17" spans="1:8" ht="13" thickBot="1" x14ac:dyDescent="0.3">
      <c r="A17" s="36" t="s">
        <v>14</v>
      </c>
      <c r="B17" s="37">
        <v>56.67478661710264</v>
      </c>
      <c r="C17" s="37">
        <v>47.537892674290653</v>
      </c>
      <c r="D17" s="37">
        <v>2.8901351694135158E-2</v>
      </c>
      <c r="E17" s="38"/>
      <c r="F17" s="38"/>
      <c r="G17" s="38"/>
      <c r="H17" s="39">
        <f t="shared" si="1"/>
        <v>104.24158064308743</v>
      </c>
    </row>
    <row r="18" spans="1:8" x14ac:dyDescent="0.25">
      <c r="A18" s="14" t="s">
        <v>15</v>
      </c>
      <c r="B18" s="40">
        <f t="shared" ref="B18:G18" si="2">SUM(B19:B26)</f>
        <v>4476.6204972427158</v>
      </c>
      <c r="C18" s="40">
        <f t="shared" si="2"/>
        <v>112.39586792</v>
      </c>
      <c r="D18" s="40">
        <f t="shared" si="2"/>
        <v>68.807902165000002</v>
      </c>
      <c r="E18" s="40">
        <f t="shared" si="2"/>
        <v>1376.6528460140128</v>
      </c>
      <c r="F18" s="40">
        <f t="shared" si="2"/>
        <v>0.91296731170000001</v>
      </c>
      <c r="G18" s="41">
        <f t="shared" si="2"/>
        <v>42.377041483499994</v>
      </c>
      <c r="H18" s="28">
        <f t="shared" si="1"/>
        <v>6077.7671221369283</v>
      </c>
    </row>
    <row r="19" spans="1:8" x14ac:dyDescent="0.25">
      <c r="A19" s="15" t="s">
        <v>16</v>
      </c>
      <c r="B19" s="29">
        <v>2284.0587435800899</v>
      </c>
      <c r="C19" s="29"/>
      <c r="D19" s="29"/>
      <c r="E19" s="42"/>
      <c r="F19" s="42"/>
      <c r="G19" s="42"/>
      <c r="H19" s="31">
        <f t="shared" si="1"/>
        <v>2284.0587435800899</v>
      </c>
    </row>
    <row r="20" spans="1:8" x14ac:dyDescent="0.25">
      <c r="A20" s="15" t="s">
        <v>17</v>
      </c>
      <c r="B20" s="33">
        <v>2092.3553842735</v>
      </c>
      <c r="C20" s="33">
        <v>112.39586792</v>
      </c>
      <c r="D20" s="33">
        <v>22.154</v>
      </c>
      <c r="E20" s="33"/>
      <c r="F20" s="33"/>
      <c r="G20" s="33"/>
      <c r="H20" s="34">
        <f t="shared" si="1"/>
        <v>2226.9052521935</v>
      </c>
    </row>
    <row r="21" spans="1:8" x14ac:dyDescent="0.25">
      <c r="A21" s="15" t="s">
        <v>18</v>
      </c>
      <c r="B21" s="33">
        <v>40.959993389125742</v>
      </c>
      <c r="C21" s="33"/>
      <c r="D21" s="33"/>
      <c r="E21" s="30"/>
      <c r="F21" s="33"/>
      <c r="G21" s="43"/>
      <c r="H21" s="34">
        <f t="shared" si="1"/>
        <v>40.959993389125742</v>
      </c>
    </row>
    <row r="22" spans="1:8" x14ac:dyDescent="0.25">
      <c r="A22" s="15" t="s">
        <v>32</v>
      </c>
      <c r="B22" s="33">
        <v>59.246375999999998</v>
      </c>
      <c r="C22" s="33"/>
      <c r="D22" s="33"/>
      <c r="E22" s="30"/>
      <c r="F22" s="30"/>
      <c r="G22" s="30"/>
      <c r="H22" s="34">
        <f t="shared" si="1"/>
        <v>59.246375999999998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1376.6528460140128</v>
      </c>
      <c r="F24" s="33">
        <v>0.91296731170000001</v>
      </c>
      <c r="G24" s="33"/>
      <c r="H24" s="34">
        <f t="shared" si="1"/>
        <v>1377.5658133257127</v>
      </c>
    </row>
    <row r="25" spans="1:8" x14ac:dyDescent="0.25">
      <c r="A25" s="15" t="s">
        <v>34</v>
      </c>
      <c r="B25" s="33"/>
      <c r="C25" s="33"/>
      <c r="D25" s="33">
        <v>46.653902164999998</v>
      </c>
      <c r="E25" s="33"/>
      <c r="F25" s="33"/>
      <c r="G25" s="33">
        <v>42.377041483499994</v>
      </c>
      <c r="H25" s="34">
        <f t="shared" si="1"/>
        <v>89.030943648499999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11.728363999999999</v>
      </c>
      <c r="C27" s="40">
        <f>SUM(C28:C36)</f>
        <v>3016.380245676</v>
      </c>
      <c r="D27" s="40">
        <f>SUM(D28:D36)</f>
        <v>765.36150403499994</v>
      </c>
      <c r="E27" s="45"/>
      <c r="F27" s="45"/>
      <c r="G27" s="46"/>
      <c r="H27" s="28">
        <f t="shared" si="1"/>
        <v>3793.4701137110001</v>
      </c>
    </row>
    <row r="28" spans="1:8" x14ac:dyDescent="0.25">
      <c r="A28" s="15" t="s">
        <v>19</v>
      </c>
      <c r="B28" s="42"/>
      <c r="C28" s="29">
        <v>1219.0248765239999</v>
      </c>
      <c r="D28" s="47"/>
      <c r="E28" s="30"/>
      <c r="F28" s="30"/>
      <c r="G28" s="30"/>
      <c r="H28" s="31">
        <f t="shared" si="1"/>
        <v>1219.0248765239999</v>
      </c>
    </row>
    <row r="29" spans="1:8" x14ac:dyDescent="0.25">
      <c r="A29" s="15" t="s">
        <v>20</v>
      </c>
      <c r="B29" s="30"/>
      <c r="C29" s="33">
        <v>1680.576749152</v>
      </c>
      <c r="D29" s="33">
        <v>327.69549166500002</v>
      </c>
      <c r="E29" s="30"/>
      <c r="F29" s="30"/>
      <c r="G29" s="30"/>
      <c r="H29" s="34">
        <f t="shared" si="1"/>
        <v>2008.272240817</v>
      </c>
    </row>
    <row r="30" spans="1:8" x14ac:dyDescent="0.25">
      <c r="A30" s="15" t="s">
        <v>21</v>
      </c>
      <c r="B30" s="30"/>
      <c r="C30" s="33">
        <v>116.10919199599999</v>
      </c>
      <c r="D30" s="48"/>
      <c r="E30" s="30"/>
      <c r="F30" s="30"/>
      <c r="G30" s="30"/>
      <c r="H30" s="34">
        <f t="shared" si="1"/>
        <v>116.10919199599999</v>
      </c>
    </row>
    <row r="31" spans="1:8" x14ac:dyDescent="0.25">
      <c r="A31" s="15" t="s">
        <v>22</v>
      </c>
      <c r="B31" s="49"/>
      <c r="C31" s="33"/>
      <c r="D31" s="33">
        <v>437.50175450500001</v>
      </c>
      <c r="E31" s="30"/>
      <c r="F31" s="30"/>
      <c r="G31" s="30"/>
      <c r="H31" s="34">
        <f t="shared" si="1"/>
        <v>437.50175450500001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0.66942800399999991</v>
      </c>
      <c r="D33" s="33">
        <v>0.164257865</v>
      </c>
      <c r="E33" s="30"/>
      <c r="F33" s="30"/>
      <c r="G33" s="30"/>
      <c r="H33" s="34">
        <f t="shared" si="1"/>
        <v>0.83368586899999997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10.48381</v>
      </c>
      <c r="C35" s="50"/>
      <c r="D35" s="50"/>
      <c r="E35" s="51"/>
      <c r="F35" s="51"/>
      <c r="G35" s="51"/>
      <c r="H35" s="52">
        <f t="shared" si="1"/>
        <v>10.48381</v>
      </c>
    </row>
    <row r="36" spans="1:8" ht="13" thickBot="1" x14ac:dyDescent="0.3">
      <c r="A36" s="16" t="s">
        <v>48</v>
      </c>
      <c r="B36" s="37">
        <v>1.2445539999999999</v>
      </c>
      <c r="C36" s="37"/>
      <c r="D36" s="37"/>
      <c r="E36" s="38"/>
      <c r="F36" s="38"/>
      <c r="G36" s="38"/>
      <c r="H36" s="39">
        <f t="shared" si="1"/>
        <v>1.2445539999999999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2705.2417027282504</v>
      </c>
      <c r="D47" s="40">
        <f>SUM(D48:D52)</f>
        <v>187.450383305</v>
      </c>
      <c r="E47" s="45"/>
      <c r="F47" s="45"/>
      <c r="G47" s="46"/>
      <c r="H47" s="53">
        <f t="shared" si="1"/>
        <v>2892.6920860332502</v>
      </c>
    </row>
    <row r="48" spans="1:8" x14ac:dyDescent="0.25">
      <c r="A48" s="15" t="s">
        <v>24</v>
      </c>
      <c r="B48" s="29"/>
      <c r="C48" s="29">
        <v>2205.8100422960001</v>
      </c>
      <c r="D48" s="29"/>
      <c r="E48" s="30"/>
      <c r="F48" s="30"/>
      <c r="G48" s="30"/>
      <c r="H48" s="31">
        <f t="shared" si="1"/>
        <v>2205.8100422960001</v>
      </c>
    </row>
    <row r="49" spans="1:8" x14ac:dyDescent="0.25">
      <c r="A49" s="15" t="s">
        <v>43</v>
      </c>
      <c r="B49" s="29"/>
      <c r="C49" s="29">
        <v>81.359510400000005</v>
      </c>
      <c r="D49" s="29">
        <v>41.722045200000004</v>
      </c>
      <c r="E49" s="30"/>
      <c r="F49" s="30"/>
      <c r="G49" s="30"/>
      <c r="H49" s="31">
        <f t="shared" si="1"/>
        <v>123.0815556</v>
      </c>
    </row>
    <row r="50" spans="1:8" x14ac:dyDescent="0.25">
      <c r="A50" s="15" t="s">
        <v>25</v>
      </c>
      <c r="B50" s="33"/>
      <c r="C50" s="33">
        <v>11.665175508000001</v>
      </c>
      <c r="D50" s="33">
        <v>14.988306455</v>
      </c>
      <c r="E50" s="30"/>
      <c r="F50" s="30"/>
      <c r="G50" s="30"/>
      <c r="H50" s="34">
        <f t="shared" si="1"/>
        <v>26.653481963000001</v>
      </c>
    </row>
    <row r="51" spans="1:8" x14ac:dyDescent="0.25">
      <c r="A51" s="15" t="s">
        <v>42</v>
      </c>
      <c r="B51" s="30"/>
      <c r="C51" s="33">
        <v>406.30864294825</v>
      </c>
      <c r="D51" s="33">
        <v>130.74003164999999</v>
      </c>
      <c r="E51" s="30"/>
      <c r="F51" s="30"/>
      <c r="G51" s="30"/>
      <c r="H51" s="34">
        <f t="shared" si="1"/>
        <v>537.04867459825005</v>
      </c>
    </row>
    <row r="52" spans="1:8" ht="13" thickBot="1" x14ac:dyDescent="0.3">
      <c r="A52" s="15" t="s">
        <v>44</v>
      </c>
      <c r="B52" s="33"/>
      <c r="C52" s="33">
        <v>9.8331576000000004E-2</v>
      </c>
      <c r="D52" s="33"/>
      <c r="E52" s="30"/>
      <c r="F52" s="30"/>
      <c r="G52" s="30"/>
      <c r="H52" s="34">
        <f t="shared" si="1"/>
        <v>9.8331576000000004E-2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opLeftCell="A13" workbookViewId="0">
      <selection activeCell="B38" sqref="B38:D46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75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32812.570553893027</v>
      </c>
      <c r="C7" s="203">
        <f t="shared" ref="C7:G7" si="0">SUM(C8,C18,C27,C37,C47,C53)</f>
        <v>6255.4180050004179</v>
      </c>
      <c r="D7" s="203">
        <f t="shared" si="0"/>
        <v>1254.0781461883694</v>
      </c>
      <c r="E7" s="203">
        <f t="shared" si="0"/>
        <v>1406.6889012013282</v>
      </c>
      <c r="F7" s="203">
        <f t="shared" si="0"/>
        <v>1.1047171934000002</v>
      </c>
      <c r="G7" s="203">
        <f t="shared" si="0"/>
        <v>40.854191733999997</v>
      </c>
      <c r="H7" s="204">
        <f>SUM(B7:G7)</f>
        <v>41770.714515210529</v>
      </c>
    </row>
    <row r="8" spans="1:8" ht="13" thickTop="1" x14ac:dyDescent="0.25">
      <c r="A8" s="14" t="s">
        <v>5</v>
      </c>
      <c r="B8" s="25">
        <f>SUM(B9,B15)</f>
        <v>28444.75145523106</v>
      </c>
      <c r="C8" s="25">
        <f>SUM(C9,C15)</f>
        <v>424.71309347736837</v>
      </c>
      <c r="D8" s="25">
        <f>SUM(D9,D15)</f>
        <v>217.06939593336909</v>
      </c>
      <c r="E8" s="26"/>
      <c r="F8" s="26"/>
      <c r="G8" s="27"/>
      <c r="H8" s="28">
        <f t="shared" ref="H8:H53" si="1">SUM(B8:G8)</f>
        <v>29086.533944641797</v>
      </c>
    </row>
    <row r="9" spans="1:8" x14ac:dyDescent="0.25">
      <c r="A9" s="15" t="s">
        <v>6</v>
      </c>
      <c r="B9" s="29">
        <f>SUM(B10:B14)</f>
        <v>28408.528253811819</v>
      </c>
      <c r="C9" s="29">
        <f>SUM(C10:C14)</f>
        <v>378.84139139522017</v>
      </c>
      <c r="D9" s="29">
        <f>SUM(D10:D14)</f>
        <v>217.02132771524307</v>
      </c>
      <c r="E9" s="30"/>
      <c r="F9" s="30"/>
      <c r="G9" s="30"/>
      <c r="H9" s="31">
        <f t="shared" si="1"/>
        <v>29004.390972922283</v>
      </c>
    </row>
    <row r="10" spans="1:8" x14ac:dyDescent="0.25">
      <c r="A10" s="32" t="s">
        <v>7</v>
      </c>
      <c r="B10" s="33">
        <v>5020.190551001866</v>
      </c>
      <c r="C10" s="33">
        <v>4.5171212482837433</v>
      </c>
      <c r="D10" s="33">
        <v>51.472043174458037</v>
      </c>
      <c r="E10" s="30"/>
      <c r="F10" s="30"/>
      <c r="G10" s="30"/>
      <c r="H10" s="34">
        <f t="shared" si="1"/>
        <v>5076.1797154246078</v>
      </c>
    </row>
    <row r="11" spans="1:8" x14ac:dyDescent="0.25">
      <c r="A11" s="32" t="s">
        <v>8</v>
      </c>
      <c r="B11" s="33">
        <v>6456.3082542860802</v>
      </c>
      <c r="C11" s="33">
        <v>208.32289206869544</v>
      </c>
      <c r="D11" s="33">
        <v>24.201905351240949</v>
      </c>
      <c r="E11" s="30"/>
      <c r="F11" s="30"/>
      <c r="G11" s="30"/>
      <c r="H11" s="34">
        <f t="shared" si="1"/>
        <v>6688.8330517060167</v>
      </c>
    </row>
    <row r="12" spans="1:8" x14ac:dyDescent="0.25">
      <c r="A12" s="32" t="s">
        <v>9</v>
      </c>
      <c r="B12" s="33">
        <v>12175.861886523873</v>
      </c>
      <c r="C12" s="35">
        <v>20.527746082240988</v>
      </c>
      <c r="D12" s="33">
        <v>112.73697165954408</v>
      </c>
      <c r="E12" s="30"/>
      <c r="F12" s="30"/>
      <c r="G12" s="30"/>
      <c r="H12" s="34">
        <f t="shared" si="1"/>
        <v>12309.126604265659</v>
      </c>
    </row>
    <row r="13" spans="1:8" x14ac:dyDescent="0.25">
      <c r="A13" s="32" t="s">
        <v>10</v>
      </c>
      <c r="B13" s="33">
        <v>4704.1115909999999</v>
      </c>
      <c r="C13" s="33">
        <v>145.443053728</v>
      </c>
      <c r="D13" s="33">
        <v>28.225618520000001</v>
      </c>
      <c r="E13" s="30"/>
      <c r="F13" s="30"/>
      <c r="G13" s="30"/>
      <c r="H13" s="34">
        <f t="shared" si="1"/>
        <v>4877.7802632479998</v>
      </c>
    </row>
    <row r="14" spans="1:8" x14ac:dyDescent="0.25">
      <c r="A14" s="32" t="s">
        <v>11</v>
      </c>
      <c r="B14" s="33">
        <v>52.055971</v>
      </c>
      <c r="C14" s="33">
        <v>3.0578267999999999E-2</v>
      </c>
      <c r="D14" s="33">
        <v>0.38478900999999999</v>
      </c>
      <c r="E14" s="30"/>
      <c r="F14" s="30"/>
      <c r="G14" s="30"/>
      <c r="H14" s="34">
        <f t="shared" si="1"/>
        <v>52.471338277999998</v>
      </c>
    </row>
    <row r="15" spans="1:8" x14ac:dyDescent="0.25">
      <c r="A15" s="15" t="s">
        <v>12</v>
      </c>
      <c r="B15" s="33">
        <f>SUM(B16:B17)</f>
        <v>36.223201419239984</v>
      </c>
      <c r="C15" s="33">
        <f>SUM(C16:C17)</f>
        <v>45.871702082148204</v>
      </c>
      <c r="D15" s="33">
        <f>SUM(D16:D17)</f>
        <v>4.8068218126027094E-2</v>
      </c>
      <c r="E15" s="30"/>
      <c r="F15" s="30"/>
      <c r="G15" s="30"/>
      <c r="H15" s="34">
        <f t="shared" si="1"/>
        <v>82.142971719514222</v>
      </c>
    </row>
    <row r="16" spans="1:8" x14ac:dyDescent="0.25">
      <c r="A16" s="32" t="s">
        <v>13</v>
      </c>
      <c r="B16" s="33"/>
      <c r="C16" s="33"/>
      <c r="D16" s="33"/>
      <c r="E16" s="30"/>
      <c r="F16" s="30"/>
      <c r="G16" s="30"/>
      <c r="H16" s="34">
        <f t="shared" si="1"/>
        <v>0</v>
      </c>
    </row>
    <row r="17" spans="1:8" ht="13" thickBot="1" x14ac:dyDescent="0.3">
      <c r="A17" s="36" t="s">
        <v>14</v>
      </c>
      <c r="B17" s="37">
        <v>36.223201419239984</v>
      </c>
      <c r="C17" s="37">
        <v>45.871702082148204</v>
      </c>
      <c r="D17" s="37">
        <v>4.8068218126027094E-2</v>
      </c>
      <c r="E17" s="38"/>
      <c r="F17" s="38"/>
      <c r="G17" s="38"/>
      <c r="H17" s="39">
        <f t="shared" si="1"/>
        <v>82.142971719514222</v>
      </c>
    </row>
    <row r="18" spans="1:8" x14ac:dyDescent="0.25">
      <c r="A18" s="14" t="s">
        <v>15</v>
      </c>
      <c r="B18" s="40">
        <f t="shared" ref="B18:G18" si="2">SUM(B19:B26)</f>
        <v>4353.2483826619628</v>
      </c>
      <c r="C18" s="40">
        <f t="shared" si="2"/>
        <v>110.5146812</v>
      </c>
      <c r="D18" s="40">
        <f t="shared" si="2"/>
        <v>62.721506184999996</v>
      </c>
      <c r="E18" s="40">
        <f t="shared" si="2"/>
        <v>1406.6889012013282</v>
      </c>
      <c r="F18" s="40">
        <f t="shared" si="2"/>
        <v>1.1047171934000002</v>
      </c>
      <c r="G18" s="41">
        <f t="shared" si="2"/>
        <v>40.854191733999997</v>
      </c>
      <c r="H18" s="28">
        <f t="shared" si="1"/>
        <v>5975.1323801756907</v>
      </c>
    </row>
    <row r="19" spans="1:8" x14ac:dyDescent="0.25">
      <c r="A19" s="15" t="s">
        <v>16</v>
      </c>
      <c r="B19" s="29">
        <v>2184.4831627439166</v>
      </c>
      <c r="C19" s="29"/>
      <c r="D19" s="29"/>
      <c r="E19" s="42"/>
      <c r="F19" s="42"/>
      <c r="G19" s="42"/>
      <c r="H19" s="31">
        <f t="shared" si="1"/>
        <v>2184.4831627439166</v>
      </c>
    </row>
    <row r="20" spans="1:8" x14ac:dyDescent="0.25">
      <c r="A20" s="15" t="s">
        <v>17</v>
      </c>
      <c r="B20" s="33">
        <v>2064.1665512546374</v>
      </c>
      <c r="C20" s="33">
        <v>110.5146812</v>
      </c>
      <c r="D20" s="33">
        <v>18.815000000000001</v>
      </c>
      <c r="E20" s="33"/>
      <c r="F20" s="33"/>
      <c r="G20" s="33"/>
      <c r="H20" s="34">
        <f t="shared" si="1"/>
        <v>2193.4962324546373</v>
      </c>
    </row>
    <row r="21" spans="1:8" x14ac:dyDescent="0.25">
      <c r="A21" s="15" t="s">
        <v>18</v>
      </c>
      <c r="B21" s="33">
        <v>48.669678663408</v>
      </c>
      <c r="C21" s="33"/>
      <c r="D21" s="33"/>
      <c r="E21" s="30"/>
      <c r="F21" s="33"/>
      <c r="G21" s="43"/>
      <c r="H21" s="34">
        <f t="shared" si="1"/>
        <v>48.669678663408</v>
      </c>
    </row>
    <row r="22" spans="1:8" x14ac:dyDescent="0.25">
      <c r="A22" s="15" t="s">
        <v>32</v>
      </c>
      <c r="B22" s="33">
        <v>55.928989999999999</v>
      </c>
      <c r="C22" s="33"/>
      <c r="D22" s="33"/>
      <c r="E22" s="30"/>
      <c r="F22" s="30"/>
      <c r="G22" s="30"/>
      <c r="H22" s="34">
        <f t="shared" si="1"/>
        <v>55.928989999999999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1406.6889012013282</v>
      </c>
      <c r="F24" s="33">
        <v>1.1047171934000002</v>
      </c>
      <c r="G24" s="33"/>
      <c r="H24" s="34">
        <f t="shared" si="1"/>
        <v>1407.7936183947281</v>
      </c>
    </row>
    <row r="25" spans="1:8" x14ac:dyDescent="0.25">
      <c r="A25" s="15" t="s">
        <v>34</v>
      </c>
      <c r="B25" s="33"/>
      <c r="C25" s="33"/>
      <c r="D25" s="33">
        <v>43.906506184999998</v>
      </c>
      <c r="E25" s="33"/>
      <c r="F25" s="33"/>
      <c r="G25" s="33">
        <v>40.854191733999997</v>
      </c>
      <c r="H25" s="34">
        <f t="shared" si="1"/>
        <v>84.760697918999995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14.570716000000001</v>
      </c>
      <c r="C27" s="40">
        <f>SUM(C28:C36)</f>
        <v>2972.7536275919997</v>
      </c>
      <c r="D27" s="40">
        <f>SUM(D28:D36)</f>
        <v>785.90777792000006</v>
      </c>
      <c r="E27" s="45"/>
      <c r="F27" s="45"/>
      <c r="G27" s="46"/>
      <c r="H27" s="28">
        <f t="shared" si="1"/>
        <v>3773.232121512</v>
      </c>
    </row>
    <row r="28" spans="1:8" x14ac:dyDescent="0.25">
      <c r="A28" s="15" t="s">
        <v>19</v>
      </c>
      <c r="B28" s="42"/>
      <c r="C28" s="29">
        <v>1188.1268495320001</v>
      </c>
      <c r="D28" s="47"/>
      <c r="E28" s="30"/>
      <c r="F28" s="30"/>
      <c r="G28" s="30"/>
      <c r="H28" s="31">
        <f t="shared" si="1"/>
        <v>1188.1268495320001</v>
      </c>
    </row>
    <row r="29" spans="1:8" x14ac:dyDescent="0.25">
      <c r="A29" s="15" t="s">
        <v>20</v>
      </c>
      <c r="B29" s="30"/>
      <c r="C29" s="33">
        <v>1667.139664904</v>
      </c>
      <c r="D29" s="33">
        <v>326.54027107000002</v>
      </c>
      <c r="E29" s="30"/>
      <c r="F29" s="30"/>
      <c r="G29" s="30"/>
      <c r="H29" s="34">
        <f t="shared" si="1"/>
        <v>1993.679935974</v>
      </c>
    </row>
    <row r="30" spans="1:8" x14ac:dyDescent="0.25">
      <c r="A30" s="15" t="s">
        <v>21</v>
      </c>
      <c r="B30" s="30"/>
      <c r="C30" s="33">
        <v>116.820665808</v>
      </c>
      <c r="D30" s="48"/>
      <c r="E30" s="30"/>
      <c r="F30" s="30"/>
      <c r="G30" s="30"/>
      <c r="H30" s="34">
        <f t="shared" si="1"/>
        <v>116.820665808</v>
      </c>
    </row>
    <row r="31" spans="1:8" x14ac:dyDescent="0.25">
      <c r="A31" s="15" t="s">
        <v>22</v>
      </c>
      <c r="B31" s="49"/>
      <c r="C31" s="33"/>
      <c r="D31" s="33">
        <v>459.20398038500002</v>
      </c>
      <c r="E31" s="30"/>
      <c r="F31" s="30"/>
      <c r="G31" s="30"/>
      <c r="H31" s="34">
        <f t="shared" si="1"/>
        <v>459.20398038500002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0.66644734799999983</v>
      </c>
      <c r="D33" s="33">
        <v>0.16352646500000001</v>
      </c>
      <c r="E33" s="30"/>
      <c r="F33" s="30"/>
      <c r="G33" s="30"/>
      <c r="H33" s="34">
        <f t="shared" si="1"/>
        <v>0.82997381299999984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12.703084</v>
      </c>
      <c r="C35" s="50"/>
      <c r="D35" s="50"/>
      <c r="E35" s="51"/>
      <c r="F35" s="51"/>
      <c r="G35" s="51"/>
      <c r="H35" s="52">
        <f t="shared" si="1"/>
        <v>12.703084</v>
      </c>
    </row>
    <row r="36" spans="1:8" ht="13" thickBot="1" x14ac:dyDescent="0.3">
      <c r="A36" s="16" t="s">
        <v>48</v>
      </c>
      <c r="B36" s="37">
        <v>1.867632</v>
      </c>
      <c r="C36" s="37"/>
      <c r="D36" s="37"/>
      <c r="E36" s="38"/>
      <c r="F36" s="38"/>
      <c r="G36" s="38"/>
      <c r="H36" s="39">
        <f t="shared" si="1"/>
        <v>1.867632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2747.4366027310498</v>
      </c>
      <c r="D47" s="40">
        <f>SUM(D48:D52)</f>
        <v>188.37946615000001</v>
      </c>
      <c r="E47" s="45"/>
      <c r="F47" s="45"/>
      <c r="G47" s="46"/>
      <c r="H47" s="53">
        <f t="shared" si="1"/>
        <v>2935.8160688810499</v>
      </c>
    </row>
    <row r="48" spans="1:8" x14ac:dyDescent="0.25">
      <c r="A48" s="15" t="s">
        <v>24</v>
      </c>
      <c r="B48" s="29"/>
      <c r="C48" s="29">
        <v>2239.0031476119998</v>
      </c>
      <c r="D48" s="29"/>
      <c r="E48" s="30"/>
      <c r="F48" s="30"/>
      <c r="G48" s="30"/>
      <c r="H48" s="31">
        <f t="shared" si="1"/>
        <v>2239.0031476119998</v>
      </c>
    </row>
    <row r="49" spans="1:8" x14ac:dyDescent="0.25">
      <c r="A49" s="15" t="s">
        <v>43</v>
      </c>
      <c r="B49" s="29"/>
      <c r="C49" s="29">
        <v>95.911567191999993</v>
      </c>
      <c r="D49" s="29">
        <v>44.259176400000001</v>
      </c>
      <c r="E49" s="30"/>
      <c r="F49" s="30"/>
      <c r="G49" s="30"/>
      <c r="H49" s="31">
        <f t="shared" si="1"/>
        <v>140.17074359200001</v>
      </c>
    </row>
    <row r="50" spans="1:8" x14ac:dyDescent="0.25">
      <c r="A50" s="15" t="s">
        <v>25</v>
      </c>
      <c r="B50" s="33"/>
      <c r="C50" s="33">
        <v>11.343269923999999</v>
      </c>
      <c r="D50" s="33">
        <v>14.8193406</v>
      </c>
      <c r="E50" s="30"/>
      <c r="F50" s="30"/>
      <c r="G50" s="30"/>
      <c r="H50" s="34">
        <f t="shared" si="1"/>
        <v>26.162610524000002</v>
      </c>
    </row>
    <row r="51" spans="1:8" x14ac:dyDescent="0.25">
      <c r="A51" s="15" t="s">
        <v>42</v>
      </c>
      <c r="B51" s="30"/>
      <c r="C51" s="33">
        <v>401.08173909505012</v>
      </c>
      <c r="D51" s="33">
        <v>129.30094915000001</v>
      </c>
      <c r="E51" s="30"/>
      <c r="F51" s="30"/>
      <c r="G51" s="30"/>
      <c r="H51" s="34">
        <f t="shared" si="1"/>
        <v>530.38268824505008</v>
      </c>
    </row>
    <row r="52" spans="1:8" ht="13" thickBot="1" x14ac:dyDescent="0.3">
      <c r="A52" s="15" t="s">
        <v>44</v>
      </c>
      <c r="B52" s="33"/>
      <c r="C52" s="33">
        <v>9.6878908E-2</v>
      </c>
      <c r="D52" s="33"/>
      <c r="E52" s="30"/>
      <c r="F52" s="30"/>
      <c r="G52" s="30"/>
      <c r="H52" s="34">
        <f t="shared" si="1"/>
        <v>9.6878908E-2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74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31215.068165935925</v>
      </c>
      <c r="C7" s="203">
        <f t="shared" ref="C7:G7" si="0">SUM(C8,C18,C27,C37,C47,C53)</f>
        <v>6025.2321631711748</v>
      </c>
      <c r="D7" s="203">
        <f t="shared" si="0"/>
        <v>1247.3624202273413</v>
      </c>
      <c r="E7" s="203">
        <f t="shared" si="0"/>
        <v>2427.5978346068896</v>
      </c>
      <c r="F7" s="203">
        <f t="shared" si="0"/>
        <v>0.21223436500000001</v>
      </c>
      <c r="G7" s="203">
        <f t="shared" si="0"/>
        <v>38.738731792000003</v>
      </c>
      <c r="H7" s="204">
        <f>SUM(B7:G7)</f>
        <v>40954.211550098327</v>
      </c>
    </row>
    <row r="8" spans="1:8" ht="13" thickTop="1" x14ac:dyDescent="0.25">
      <c r="A8" s="14" t="s">
        <v>5</v>
      </c>
      <c r="B8" s="25">
        <f>SUM(B9,B15)</f>
        <v>26972.558737454488</v>
      </c>
      <c r="C8" s="25">
        <f>SUM(C9,C15)</f>
        <v>431.62656827217518</v>
      </c>
      <c r="D8" s="25">
        <f>SUM(D9,D15)</f>
        <v>199.67325784234117</v>
      </c>
      <c r="E8" s="26"/>
      <c r="F8" s="26"/>
      <c r="G8" s="27"/>
      <c r="H8" s="28">
        <f t="shared" ref="H8:H53" si="1">SUM(B8:G8)</f>
        <v>27603.858563569003</v>
      </c>
    </row>
    <row r="9" spans="1:8" x14ac:dyDescent="0.25">
      <c r="A9" s="15" t="s">
        <v>6</v>
      </c>
      <c r="B9" s="29">
        <f>SUM(B10:B14)</f>
        <v>26909.762389608422</v>
      </c>
      <c r="C9" s="29">
        <f>SUM(C10:C14)</f>
        <v>368.31357243849499</v>
      </c>
      <c r="D9" s="29">
        <f>SUM(D10:D14)</f>
        <v>199.6073460742453</v>
      </c>
      <c r="E9" s="30"/>
      <c r="F9" s="30"/>
      <c r="G9" s="30"/>
      <c r="H9" s="31">
        <f t="shared" si="1"/>
        <v>27477.683308121163</v>
      </c>
    </row>
    <row r="10" spans="1:8" x14ac:dyDescent="0.25">
      <c r="A10" s="32" t="s">
        <v>7</v>
      </c>
      <c r="B10" s="33">
        <v>4332.7216098775316</v>
      </c>
      <c r="C10" s="33">
        <v>11.060081955432478</v>
      </c>
      <c r="D10" s="33">
        <v>41.129649726735948</v>
      </c>
      <c r="E10" s="30"/>
      <c r="F10" s="30"/>
      <c r="G10" s="30"/>
      <c r="H10" s="34">
        <f t="shared" si="1"/>
        <v>4384.9113415597003</v>
      </c>
    </row>
    <row r="11" spans="1:8" x14ac:dyDescent="0.25">
      <c r="A11" s="32" t="s">
        <v>8</v>
      </c>
      <c r="B11" s="33">
        <v>5868.9021966172832</v>
      </c>
      <c r="C11" s="33">
        <v>186.24253546725183</v>
      </c>
      <c r="D11" s="33">
        <v>19.383504479523243</v>
      </c>
      <c r="E11" s="30"/>
      <c r="F11" s="30"/>
      <c r="G11" s="30"/>
      <c r="H11" s="34">
        <f t="shared" si="1"/>
        <v>6074.5282365640578</v>
      </c>
    </row>
    <row r="12" spans="1:8" x14ac:dyDescent="0.25">
      <c r="A12" s="32" t="s">
        <v>9</v>
      </c>
      <c r="B12" s="33">
        <v>11894.270765113608</v>
      </c>
      <c r="C12" s="35">
        <v>22.521644927810677</v>
      </c>
      <c r="D12" s="33">
        <v>109.91576743798609</v>
      </c>
      <c r="E12" s="30"/>
      <c r="F12" s="30"/>
      <c r="G12" s="30"/>
      <c r="H12" s="34">
        <f t="shared" si="1"/>
        <v>12026.708177479404</v>
      </c>
    </row>
    <row r="13" spans="1:8" x14ac:dyDescent="0.25">
      <c r="A13" s="32" t="s">
        <v>10</v>
      </c>
      <c r="B13" s="33">
        <v>4764.6905290000004</v>
      </c>
      <c r="C13" s="33">
        <v>148.46993887599999</v>
      </c>
      <c r="D13" s="33">
        <v>28.797379605</v>
      </c>
      <c r="E13" s="30"/>
      <c r="F13" s="30"/>
      <c r="G13" s="30"/>
      <c r="H13" s="34">
        <f t="shared" si="1"/>
        <v>4941.9578474810005</v>
      </c>
    </row>
    <row r="14" spans="1:8" x14ac:dyDescent="0.25">
      <c r="A14" s="32" t="s">
        <v>11</v>
      </c>
      <c r="B14" s="33">
        <v>49.177289000000009</v>
      </c>
      <c r="C14" s="33">
        <v>1.9371211999999999E-2</v>
      </c>
      <c r="D14" s="33">
        <v>0.38104482499999998</v>
      </c>
      <c r="E14" s="30"/>
      <c r="F14" s="30"/>
      <c r="G14" s="30"/>
      <c r="H14" s="34">
        <f t="shared" si="1"/>
        <v>49.577705037000008</v>
      </c>
    </row>
    <row r="15" spans="1:8" x14ac:dyDescent="0.25">
      <c r="A15" s="15" t="s">
        <v>12</v>
      </c>
      <c r="B15" s="33">
        <f>SUM(B16:B17)</f>
        <v>62.79634784606727</v>
      </c>
      <c r="C15" s="33">
        <f>SUM(C16:C17)</f>
        <v>63.312995833680176</v>
      </c>
      <c r="D15" s="33">
        <f>SUM(D16:D17)</f>
        <v>6.5911768095859469E-2</v>
      </c>
      <c r="E15" s="30"/>
      <c r="F15" s="30"/>
      <c r="G15" s="30"/>
      <c r="H15" s="34">
        <f t="shared" si="1"/>
        <v>126.1752554478433</v>
      </c>
    </row>
    <row r="16" spans="1:8" x14ac:dyDescent="0.25">
      <c r="A16" s="32" t="s">
        <v>13</v>
      </c>
      <c r="B16" s="33"/>
      <c r="C16" s="33"/>
      <c r="D16" s="33"/>
      <c r="E16" s="30"/>
      <c r="F16" s="30"/>
      <c r="G16" s="30"/>
      <c r="H16" s="34">
        <f t="shared" si="1"/>
        <v>0</v>
      </c>
    </row>
    <row r="17" spans="1:8" ht="13" thickBot="1" x14ac:dyDescent="0.3">
      <c r="A17" s="36" t="s">
        <v>14</v>
      </c>
      <c r="B17" s="37">
        <v>62.79634784606727</v>
      </c>
      <c r="C17" s="37">
        <v>63.312995833680176</v>
      </c>
      <c r="D17" s="37">
        <v>6.5911768095859469E-2</v>
      </c>
      <c r="E17" s="38"/>
      <c r="F17" s="38"/>
      <c r="G17" s="38"/>
      <c r="H17" s="39">
        <f t="shared" si="1"/>
        <v>126.1752554478433</v>
      </c>
    </row>
    <row r="18" spans="1:8" x14ac:dyDescent="0.25">
      <c r="A18" s="14" t="s">
        <v>15</v>
      </c>
      <c r="B18" s="40">
        <f t="shared" ref="B18:G18" si="2">SUM(B19:B26)</f>
        <v>4226.1555754814362</v>
      </c>
      <c r="C18" s="40">
        <f t="shared" si="2"/>
        <v>101.24434628000002</v>
      </c>
      <c r="D18" s="40">
        <f t="shared" si="2"/>
        <v>79.002864240000008</v>
      </c>
      <c r="E18" s="40">
        <f t="shared" si="2"/>
        <v>2427.5978346068896</v>
      </c>
      <c r="F18" s="40">
        <f t="shared" si="2"/>
        <v>0.21223436500000001</v>
      </c>
      <c r="G18" s="41">
        <f t="shared" si="2"/>
        <v>38.738731792000003</v>
      </c>
      <c r="H18" s="28">
        <f t="shared" si="1"/>
        <v>6872.9515867653263</v>
      </c>
    </row>
    <row r="19" spans="1:8" x14ac:dyDescent="0.25">
      <c r="A19" s="15" t="s">
        <v>16</v>
      </c>
      <c r="B19" s="29">
        <v>2190.4899253925123</v>
      </c>
      <c r="C19" s="29"/>
      <c r="D19" s="29"/>
      <c r="E19" s="42"/>
      <c r="F19" s="42"/>
      <c r="G19" s="42"/>
      <c r="H19" s="31">
        <f t="shared" si="1"/>
        <v>2190.4899253925123</v>
      </c>
    </row>
    <row r="20" spans="1:8" x14ac:dyDescent="0.25">
      <c r="A20" s="15" t="s">
        <v>17</v>
      </c>
      <c r="B20" s="33">
        <v>1940.4070093764383</v>
      </c>
      <c r="C20" s="33">
        <v>101.24434628000002</v>
      </c>
      <c r="D20" s="33">
        <v>23.751950000000001</v>
      </c>
      <c r="E20" s="33"/>
      <c r="F20" s="33"/>
      <c r="G20" s="33"/>
      <c r="H20" s="34">
        <f t="shared" si="1"/>
        <v>2065.4033056564381</v>
      </c>
    </row>
    <row r="21" spans="1:8" x14ac:dyDescent="0.25">
      <c r="A21" s="15" t="s">
        <v>18</v>
      </c>
      <c r="B21" s="33">
        <v>38.171257712485023</v>
      </c>
      <c r="C21" s="33"/>
      <c r="D21" s="33"/>
      <c r="E21" s="30"/>
      <c r="F21" s="33"/>
      <c r="G21" s="43"/>
      <c r="H21" s="34">
        <f t="shared" si="1"/>
        <v>38.171257712485023</v>
      </c>
    </row>
    <row r="22" spans="1:8" x14ac:dyDescent="0.25">
      <c r="A22" s="15" t="s">
        <v>32</v>
      </c>
      <c r="B22" s="33">
        <v>57.087382999999996</v>
      </c>
      <c r="C22" s="33"/>
      <c r="D22" s="33"/>
      <c r="E22" s="30"/>
      <c r="F22" s="30"/>
      <c r="G22" s="30"/>
      <c r="H22" s="34">
        <f t="shared" si="1"/>
        <v>57.087382999999996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2427.5978346068896</v>
      </c>
      <c r="F24" s="33">
        <v>0.21223436500000001</v>
      </c>
      <c r="G24" s="33"/>
      <c r="H24" s="34">
        <f t="shared" si="1"/>
        <v>2427.8100689718895</v>
      </c>
    </row>
    <row r="25" spans="1:8" x14ac:dyDescent="0.25">
      <c r="A25" s="15" t="s">
        <v>34</v>
      </c>
      <c r="B25" s="33"/>
      <c r="C25" s="33"/>
      <c r="D25" s="33">
        <v>55.25091424</v>
      </c>
      <c r="E25" s="33"/>
      <c r="F25" s="33"/>
      <c r="G25" s="33">
        <v>38.738731792000003</v>
      </c>
      <c r="H25" s="34">
        <f t="shared" si="1"/>
        <v>93.989646031999996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16.353852999999997</v>
      </c>
      <c r="C27" s="40">
        <f>SUM(C28:C36)</f>
        <v>2893.8781254319997</v>
      </c>
      <c r="D27" s="40">
        <f>SUM(D28:D36)</f>
        <v>785.04701472499994</v>
      </c>
      <c r="E27" s="45"/>
      <c r="F27" s="45"/>
      <c r="G27" s="46"/>
      <c r="H27" s="28">
        <f t="shared" si="1"/>
        <v>3695.2789931569996</v>
      </c>
    </row>
    <row r="28" spans="1:8" x14ac:dyDescent="0.25">
      <c r="A28" s="15" t="s">
        <v>19</v>
      </c>
      <c r="B28" s="42"/>
      <c r="C28" s="29">
        <v>1176.360224564</v>
      </c>
      <c r="D28" s="47"/>
      <c r="E28" s="30"/>
      <c r="F28" s="30"/>
      <c r="G28" s="30"/>
      <c r="H28" s="31">
        <f t="shared" si="1"/>
        <v>1176.360224564</v>
      </c>
    </row>
    <row r="29" spans="1:8" x14ac:dyDescent="0.25">
      <c r="A29" s="15" t="s">
        <v>20</v>
      </c>
      <c r="B29" s="30"/>
      <c r="C29" s="33">
        <v>1601.1597839999999</v>
      </c>
      <c r="D29" s="33">
        <v>326.23693484499995</v>
      </c>
      <c r="E29" s="30"/>
      <c r="F29" s="30"/>
      <c r="G29" s="30"/>
      <c r="H29" s="34">
        <f t="shared" si="1"/>
        <v>1927.3967188449999</v>
      </c>
    </row>
    <row r="30" spans="1:8" x14ac:dyDescent="0.25">
      <c r="A30" s="15" t="s">
        <v>21</v>
      </c>
      <c r="B30" s="30"/>
      <c r="C30" s="33">
        <v>115.47247849199999</v>
      </c>
      <c r="D30" s="48"/>
      <c r="E30" s="30"/>
      <c r="F30" s="30"/>
      <c r="G30" s="30"/>
      <c r="H30" s="34">
        <f t="shared" si="1"/>
        <v>115.47247849199999</v>
      </c>
    </row>
    <row r="31" spans="1:8" x14ac:dyDescent="0.25">
      <c r="A31" s="15" t="s">
        <v>22</v>
      </c>
      <c r="B31" s="49"/>
      <c r="C31" s="33"/>
      <c r="D31" s="33">
        <v>458.592770605</v>
      </c>
      <c r="E31" s="30"/>
      <c r="F31" s="30"/>
      <c r="G31" s="30"/>
      <c r="H31" s="34">
        <f t="shared" si="1"/>
        <v>458.592770605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0.88563837600000006</v>
      </c>
      <c r="D33" s="33">
        <v>0.217309275</v>
      </c>
      <c r="E33" s="30"/>
      <c r="F33" s="30"/>
      <c r="G33" s="30"/>
      <c r="H33" s="34">
        <f t="shared" si="1"/>
        <v>1.102947651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14.416260999999999</v>
      </c>
      <c r="C35" s="50"/>
      <c r="D35" s="50"/>
      <c r="E35" s="51"/>
      <c r="F35" s="51"/>
      <c r="G35" s="51"/>
      <c r="H35" s="52">
        <f t="shared" si="1"/>
        <v>14.416260999999999</v>
      </c>
    </row>
    <row r="36" spans="1:8" ht="13" thickBot="1" x14ac:dyDescent="0.3">
      <c r="A36" s="16" t="s">
        <v>48</v>
      </c>
      <c r="B36" s="37">
        <v>1.937592</v>
      </c>
      <c r="C36" s="37"/>
      <c r="D36" s="37"/>
      <c r="E36" s="38"/>
      <c r="F36" s="38"/>
      <c r="G36" s="38"/>
      <c r="H36" s="39">
        <f t="shared" si="1"/>
        <v>1.937592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2598.4831231870003</v>
      </c>
      <c r="D47" s="40">
        <f>SUM(D48:D52)</f>
        <v>183.63928342000003</v>
      </c>
      <c r="E47" s="45"/>
      <c r="F47" s="45"/>
      <c r="G47" s="46"/>
      <c r="H47" s="53">
        <f t="shared" si="1"/>
        <v>2782.1224066070004</v>
      </c>
    </row>
    <row r="48" spans="1:8" x14ac:dyDescent="0.25">
      <c r="A48" s="15" t="s">
        <v>24</v>
      </c>
      <c r="B48" s="29"/>
      <c r="C48" s="29">
        <v>2115.5214874080002</v>
      </c>
      <c r="D48" s="29"/>
      <c r="E48" s="30"/>
      <c r="F48" s="30"/>
      <c r="G48" s="30"/>
      <c r="H48" s="31">
        <f t="shared" si="1"/>
        <v>2115.5214874080002</v>
      </c>
    </row>
    <row r="49" spans="1:8" x14ac:dyDescent="0.25">
      <c r="A49" s="15" t="s">
        <v>43</v>
      </c>
      <c r="B49" s="29"/>
      <c r="C49" s="29">
        <v>82.342081780000015</v>
      </c>
      <c r="D49" s="29">
        <v>36.264338400000007</v>
      </c>
      <c r="E49" s="30"/>
      <c r="F49" s="30"/>
      <c r="G49" s="30"/>
      <c r="H49" s="31">
        <f t="shared" si="1"/>
        <v>118.60642018000001</v>
      </c>
    </row>
    <row r="50" spans="1:8" x14ac:dyDescent="0.25">
      <c r="A50" s="15" t="s">
        <v>25</v>
      </c>
      <c r="B50" s="33"/>
      <c r="C50" s="33">
        <v>13.299367704</v>
      </c>
      <c r="D50" s="33">
        <v>16.308539369999998</v>
      </c>
      <c r="E50" s="30"/>
      <c r="F50" s="30"/>
      <c r="G50" s="30"/>
      <c r="H50" s="34">
        <f t="shared" si="1"/>
        <v>29.607907073999996</v>
      </c>
    </row>
    <row r="51" spans="1:8" x14ac:dyDescent="0.25">
      <c r="A51" s="15" t="s">
        <v>42</v>
      </c>
      <c r="B51" s="30"/>
      <c r="C51" s="33">
        <v>387.22963127100002</v>
      </c>
      <c r="D51" s="33">
        <v>131.06640565000001</v>
      </c>
      <c r="E51" s="30"/>
      <c r="F51" s="30"/>
      <c r="G51" s="30"/>
      <c r="H51" s="34">
        <f t="shared" si="1"/>
        <v>518.296036921</v>
      </c>
    </row>
    <row r="52" spans="1:8" ht="13" thickBot="1" x14ac:dyDescent="0.3">
      <c r="A52" s="15" t="s">
        <v>44</v>
      </c>
      <c r="B52" s="33"/>
      <c r="C52" s="33">
        <v>9.0555024000000012E-2</v>
      </c>
      <c r="D52" s="33"/>
      <c r="E52" s="30"/>
      <c r="F52" s="30"/>
      <c r="G52" s="30"/>
      <c r="H52" s="34">
        <f t="shared" si="1"/>
        <v>9.0555024000000012E-2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>
    <pageSetUpPr fitToPage="1"/>
  </sheetPr>
  <dimension ref="A1:H53"/>
  <sheetViews>
    <sheetView topLeftCell="A6" workbookViewId="0">
      <selection activeCell="B38" sqref="B38:D45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73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31286.21556789197</v>
      </c>
      <c r="C7" s="203">
        <f t="shared" ref="C7:G7" si="0">SUM(C8,C18,C27,C37,C47,C53)</f>
        <v>5862.1648635104475</v>
      </c>
      <c r="D7" s="203">
        <f t="shared" si="0"/>
        <v>1197.978211075653</v>
      </c>
      <c r="E7" s="203">
        <f t="shared" si="0"/>
        <v>2466.2264910112481</v>
      </c>
      <c r="F7" s="203">
        <f t="shared" si="0"/>
        <v>8.901263529999999E-2</v>
      </c>
      <c r="G7" s="203">
        <f t="shared" si="0"/>
        <v>39.441547208499998</v>
      </c>
      <c r="H7" s="204">
        <f>SUM(B7:G7)</f>
        <v>40852.115693333115</v>
      </c>
    </row>
    <row r="8" spans="1:8" ht="13" thickTop="1" x14ac:dyDescent="0.25">
      <c r="A8" s="14" t="s">
        <v>5</v>
      </c>
      <c r="B8" s="25">
        <f>SUM(B9,B15)</f>
        <v>27765.760046257266</v>
      </c>
      <c r="C8" s="25">
        <f>SUM(C9,C15)</f>
        <v>470.57110912444705</v>
      </c>
      <c r="D8" s="25">
        <f>SUM(D9,D15)</f>
        <v>204.56546253065287</v>
      </c>
      <c r="E8" s="26"/>
      <c r="F8" s="26"/>
      <c r="G8" s="27"/>
      <c r="H8" s="28">
        <f t="shared" ref="H8:H53" si="1">SUM(B8:G8)</f>
        <v>28440.896617912367</v>
      </c>
    </row>
    <row r="9" spans="1:8" x14ac:dyDescent="0.25">
      <c r="A9" s="15" t="s">
        <v>6</v>
      </c>
      <c r="B9" s="29">
        <f>SUM(B10:B14)</f>
        <v>27687.383338030115</v>
      </c>
      <c r="C9" s="29">
        <f>SUM(C10:C14)</f>
        <v>408.58793624326853</v>
      </c>
      <c r="D9" s="29">
        <f>SUM(D10:D14)</f>
        <v>204.48043801154466</v>
      </c>
      <c r="E9" s="30"/>
      <c r="F9" s="30"/>
      <c r="G9" s="30"/>
      <c r="H9" s="31">
        <f t="shared" si="1"/>
        <v>28300.451712284928</v>
      </c>
    </row>
    <row r="10" spans="1:8" x14ac:dyDescent="0.25">
      <c r="A10" s="32" t="s">
        <v>7</v>
      </c>
      <c r="B10" s="33">
        <v>4580.8861927626167</v>
      </c>
      <c r="C10" s="33">
        <v>11.825984137084376</v>
      </c>
      <c r="D10" s="33">
        <v>44.928409769629525</v>
      </c>
      <c r="E10" s="30"/>
      <c r="F10" s="30"/>
      <c r="G10" s="30"/>
      <c r="H10" s="34">
        <f t="shared" si="1"/>
        <v>4637.6405866693312</v>
      </c>
    </row>
    <row r="11" spans="1:8" x14ac:dyDescent="0.25">
      <c r="A11" s="32" t="s">
        <v>8</v>
      </c>
      <c r="B11" s="33">
        <v>6164.6905140316112</v>
      </c>
      <c r="C11" s="33">
        <v>216.44144982264427</v>
      </c>
      <c r="D11" s="33">
        <v>22.483690670522922</v>
      </c>
      <c r="E11" s="30"/>
      <c r="F11" s="30"/>
      <c r="G11" s="30"/>
      <c r="H11" s="34">
        <f t="shared" si="1"/>
        <v>6403.6156545247786</v>
      </c>
    </row>
    <row r="12" spans="1:8" x14ac:dyDescent="0.25">
      <c r="A12" s="32" t="s">
        <v>9</v>
      </c>
      <c r="B12" s="33">
        <v>11849.426482235885</v>
      </c>
      <c r="C12" s="35">
        <v>21.312884647539871</v>
      </c>
      <c r="D12" s="33">
        <v>108.25443998639221</v>
      </c>
      <c r="E12" s="30"/>
      <c r="F12" s="30"/>
      <c r="G12" s="30"/>
      <c r="H12" s="34">
        <f t="shared" si="1"/>
        <v>11978.993806869817</v>
      </c>
    </row>
    <row r="13" spans="1:8" x14ac:dyDescent="0.25">
      <c r="A13" s="32" t="s">
        <v>10</v>
      </c>
      <c r="B13" s="33">
        <v>5049.1730570000009</v>
      </c>
      <c r="C13" s="33">
        <v>158.993492</v>
      </c>
      <c r="D13" s="33">
        <v>28.483994845000002</v>
      </c>
      <c r="E13" s="30"/>
      <c r="F13" s="30"/>
      <c r="G13" s="30"/>
      <c r="H13" s="34">
        <f t="shared" si="1"/>
        <v>5236.6505438450004</v>
      </c>
    </row>
    <row r="14" spans="1:8" x14ac:dyDescent="0.25">
      <c r="A14" s="32" t="s">
        <v>11</v>
      </c>
      <c r="B14" s="33">
        <v>43.207091999999996</v>
      </c>
      <c r="C14" s="33">
        <v>1.4125636E-2</v>
      </c>
      <c r="D14" s="33">
        <v>0.32990274000000003</v>
      </c>
      <c r="E14" s="30"/>
      <c r="F14" s="30"/>
      <c r="G14" s="30"/>
      <c r="H14" s="34">
        <f t="shared" si="1"/>
        <v>43.551120376</v>
      </c>
    </row>
    <row r="15" spans="1:8" x14ac:dyDescent="0.25">
      <c r="A15" s="15" t="s">
        <v>12</v>
      </c>
      <c r="B15" s="33">
        <f>SUM(B16:B17)</f>
        <v>78.376708227152136</v>
      </c>
      <c r="C15" s="33">
        <f>SUM(C16:C17)</f>
        <v>61.983172881178504</v>
      </c>
      <c r="D15" s="33">
        <f>SUM(D16:D17)</f>
        <v>8.5024519108190783E-2</v>
      </c>
      <c r="E15" s="30"/>
      <c r="F15" s="30"/>
      <c r="G15" s="30"/>
      <c r="H15" s="34">
        <f t="shared" si="1"/>
        <v>140.44490562743883</v>
      </c>
    </row>
    <row r="16" spans="1:8" x14ac:dyDescent="0.25">
      <c r="A16" s="32" t="s">
        <v>13</v>
      </c>
      <c r="B16" s="33"/>
      <c r="C16" s="33"/>
      <c r="D16" s="33"/>
      <c r="E16" s="30"/>
      <c r="F16" s="30"/>
      <c r="G16" s="30"/>
      <c r="H16" s="34">
        <f t="shared" si="1"/>
        <v>0</v>
      </c>
    </row>
    <row r="17" spans="1:8" ht="13" thickBot="1" x14ac:dyDescent="0.3">
      <c r="A17" s="36" t="s">
        <v>14</v>
      </c>
      <c r="B17" s="37">
        <v>78.376708227152136</v>
      </c>
      <c r="C17" s="37">
        <v>61.983172881178504</v>
      </c>
      <c r="D17" s="37">
        <v>8.5024519108190783E-2</v>
      </c>
      <c r="E17" s="38"/>
      <c r="F17" s="38"/>
      <c r="G17" s="38"/>
      <c r="H17" s="39">
        <f t="shared" si="1"/>
        <v>140.44490562743883</v>
      </c>
    </row>
    <row r="18" spans="1:8" x14ac:dyDescent="0.25">
      <c r="A18" s="14" t="s">
        <v>15</v>
      </c>
      <c r="B18" s="40">
        <f t="shared" ref="B18:G18" si="2">SUM(B19:B26)</f>
        <v>3508.9641606347022</v>
      </c>
      <c r="C18" s="40">
        <f t="shared" si="2"/>
        <v>80.664584000000033</v>
      </c>
      <c r="D18" s="40">
        <f t="shared" si="2"/>
        <v>70.561838585000004</v>
      </c>
      <c r="E18" s="40">
        <f t="shared" si="2"/>
        <v>2466.2264910112481</v>
      </c>
      <c r="F18" s="40">
        <f t="shared" si="2"/>
        <v>8.901263529999999E-2</v>
      </c>
      <c r="G18" s="41">
        <f t="shared" si="2"/>
        <v>39.441547208499998</v>
      </c>
      <c r="H18" s="28">
        <f t="shared" si="1"/>
        <v>6165.9476340747506</v>
      </c>
    </row>
    <row r="19" spans="1:8" x14ac:dyDescent="0.25">
      <c r="A19" s="15" t="s">
        <v>16</v>
      </c>
      <c r="B19" s="29">
        <v>1700.6905258633656</v>
      </c>
      <c r="C19" s="29"/>
      <c r="D19" s="29"/>
      <c r="E19" s="42"/>
      <c r="F19" s="42"/>
      <c r="G19" s="42"/>
      <c r="H19" s="31">
        <f t="shared" si="1"/>
        <v>1700.6905258633656</v>
      </c>
    </row>
    <row r="20" spans="1:8" x14ac:dyDescent="0.25">
      <c r="A20" s="15" t="s">
        <v>17</v>
      </c>
      <c r="B20" s="33">
        <v>1710.0611942253904</v>
      </c>
      <c r="C20" s="33">
        <v>80.664584000000033</v>
      </c>
      <c r="D20" s="33">
        <v>15.499637999999999</v>
      </c>
      <c r="E20" s="33"/>
      <c r="F20" s="33"/>
      <c r="G20" s="33"/>
      <c r="H20" s="34">
        <f t="shared" si="1"/>
        <v>1806.2254162253905</v>
      </c>
    </row>
    <row r="21" spans="1:8" x14ac:dyDescent="0.25">
      <c r="A21" s="15" t="s">
        <v>18</v>
      </c>
      <c r="B21" s="33">
        <v>42.563702545946406</v>
      </c>
      <c r="C21" s="33"/>
      <c r="D21" s="33"/>
      <c r="E21" s="30"/>
      <c r="F21" s="33"/>
      <c r="G21" s="43"/>
      <c r="H21" s="34">
        <f t="shared" si="1"/>
        <v>42.563702545946406</v>
      </c>
    </row>
    <row r="22" spans="1:8" x14ac:dyDescent="0.25">
      <c r="A22" s="15" t="s">
        <v>32</v>
      </c>
      <c r="B22" s="33">
        <v>55.648738000000002</v>
      </c>
      <c r="C22" s="33"/>
      <c r="D22" s="33"/>
      <c r="E22" s="30"/>
      <c r="F22" s="30"/>
      <c r="G22" s="30"/>
      <c r="H22" s="34">
        <f t="shared" si="1"/>
        <v>55.648738000000002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2466.2264910112481</v>
      </c>
      <c r="F24" s="33">
        <v>8.901263529999999E-2</v>
      </c>
      <c r="G24" s="33"/>
      <c r="H24" s="34">
        <f t="shared" si="1"/>
        <v>2466.3155036465482</v>
      </c>
    </row>
    <row r="25" spans="1:8" x14ac:dyDescent="0.25">
      <c r="A25" s="15" t="s">
        <v>34</v>
      </c>
      <c r="B25" s="33"/>
      <c r="C25" s="33"/>
      <c r="D25" s="33">
        <v>55.062200585000006</v>
      </c>
      <c r="E25" s="33"/>
      <c r="F25" s="33"/>
      <c r="G25" s="33">
        <v>39.441547208499998</v>
      </c>
      <c r="H25" s="34">
        <f t="shared" si="1"/>
        <v>94.503747793499997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11.491360999999999</v>
      </c>
      <c r="C27" s="40">
        <f>SUM(C28:C36)</f>
        <v>2700.9164910000004</v>
      </c>
      <c r="D27" s="40">
        <f>SUM(D28:D36)</f>
        <v>743.67592439500004</v>
      </c>
      <c r="E27" s="45"/>
      <c r="F27" s="45"/>
      <c r="G27" s="46"/>
      <c r="H27" s="28">
        <f t="shared" si="1"/>
        <v>3456.0837763950003</v>
      </c>
    </row>
    <row r="28" spans="1:8" x14ac:dyDescent="0.25">
      <c r="A28" s="15" t="s">
        <v>19</v>
      </c>
      <c r="B28" s="42"/>
      <c r="C28" s="29">
        <v>1154.0839551640001</v>
      </c>
      <c r="D28" s="47"/>
      <c r="E28" s="30"/>
      <c r="F28" s="30"/>
      <c r="G28" s="30"/>
      <c r="H28" s="31">
        <f t="shared" si="1"/>
        <v>1154.0839551640001</v>
      </c>
    </row>
    <row r="29" spans="1:8" x14ac:dyDescent="0.25">
      <c r="A29" s="15" t="s">
        <v>20</v>
      </c>
      <c r="B29" s="30"/>
      <c r="C29" s="33">
        <v>1429.8877968199999</v>
      </c>
      <c r="D29" s="33">
        <v>320.469880295</v>
      </c>
      <c r="E29" s="30"/>
      <c r="F29" s="30"/>
      <c r="G29" s="30"/>
      <c r="H29" s="34">
        <f t="shared" si="1"/>
        <v>1750.3576771149999</v>
      </c>
    </row>
    <row r="30" spans="1:8" x14ac:dyDescent="0.25">
      <c r="A30" s="15" t="s">
        <v>21</v>
      </c>
      <c r="B30" s="30"/>
      <c r="C30" s="33">
        <v>116.08140003600001</v>
      </c>
      <c r="D30" s="48"/>
      <c r="E30" s="30"/>
      <c r="F30" s="30"/>
      <c r="G30" s="30"/>
      <c r="H30" s="34">
        <f t="shared" si="1"/>
        <v>116.08140003600001</v>
      </c>
    </row>
    <row r="31" spans="1:8" x14ac:dyDescent="0.25">
      <c r="A31" s="15" t="s">
        <v>22</v>
      </c>
      <c r="B31" s="49"/>
      <c r="C31" s="33"/>
      <c r="D31" s="33">
        <v>422.99420628000001</v>
      </c>
      <c r="E31" s="30"/>
      <c r="F31" s="30"/>
      <c r="G31" s="30"/>
      <c r="H31" s="34">
        <f t="shared" si="1"/>
        <v>422.99420628000001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0.86333897999999998</v>
      </c>
      <c r="D33" s="33">
        <v>0.21183782000000001</v>
      </c>
      <c r="E33" s="30"/>
      <c r="F33" s="30"/>
      <c r="G33" s="30"/>
      <c r="H33" s="34">
        <f t="shared" si="1"/>
        <v>1.0751767999999999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10.009983</v>
      </c>
      <c r="C35" s="50"/>
      <c r="D35" s="50"/>
      <c r="E35" s="51"/>
      <c r="F35" s="51"/>
      <c r="G35" s="51"/>
      <c r="H35" s="52">
        <f t="shared" si="1"/>
        <v>10.009983</v>
      </c>
    </row>
    <row r="36" spans="1:8" ht="13" thickBot="1" x14ac:dyDescent="0.3">
      <c r="A36" s="16" t="s">
        <v>48</v>
      </c>
      <c r="B36" s="37">
        <v>1.4813780000000001</v>
      </c>
      <c r="C36" s="37"/>
      <c r="D36" s="37"/>
      <c r="E36" s="38"/>
      <c r="F36" s="38"/>
      <c r="G36" s="38"/>
      <c r="H36" s="39">
        <f t="shared" si="1"/>
        <v>1.4813780000000001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2610.0126793859999</v>
      </c>
      <c r="D47" s="40">
        <f>SUM(D48:D52)</f>
        <v>179.17498556499999</v>
      </c>
      <c r="E47" s="45"/>
      <c r="F47" s="45"/>
      <c r="G47" s="46"/>
      <c r="H47" s="53">
        <f t="shared" si="1"/>
        <v>2789.187664951</v>
      </c>
    </row>
    <row r="48" spans="1:8" x14ac:dyDescent="0.25">
      <c r="A48" s="15" t="s">
        <v>24</v>
      </c>
      <c r="B48" s="29"/>
      <c r="C48" s="29">
        <v>2161.4337645320002</v>
      </c>
      <c r="D48" s="29"/>
      <c r="E48" s="30"/>
      <c r="F48" s="30"/>
      <c r="G48" s="30"/>
      <c r="H48" s="31">
        <f t="shared" si="1"/>
        <v>2161.4337645320002</v>
      </c>
    </row>
    <row r="49" spans="1:8" x14ac:dyDescent="0.25">
      <c r="A49" s="15" t="s">
        <v>43</v>
      </c>
      <c r="B49" s="29"/>
      <c r="C49" s="29">
        <v>60.764186783999996</v>
      </c>
      <c r="D49" s="29">
        <v>24.698296799999998</v>
      </c>
      <c r="E49" s="30"/>
      <c r="F49" s="30"/>
      <c r="G49" s="30"/>
      <c r="H49" s="31">
        <f t="shared" si="1"/>
        <v>85.462483583999997</v>
      </c>
    </row>
    <row r="50" spans="1:8" x14ac:dyDescent="0.25">
      <c r="A50" s="15" t="s">
        <v>25</v>
      </c>
      <c r="B50" s="33"/>
      <c r="C50" s="33">
        <v>11.182897068000001</v>
      </c>
      <c r="D50" s="33">
        <v>19.354982815</v>
      </c>
      <c r="E50" s="30"/>
      <c r="F50" s="30"/>
      <c r="G50" s="30"/>
      <c r="H50" s="34">
        <f t="shared" si="1"/>
        <v>30.537879883000002</v>
      </c>
    </row>
    <row r="51" spans="1:8" x14ac:dyDescent="0.25">
      <c r="A51" s="15" t="s">
        <v>42</v>
      </c>
      <c r="B51" s="30"/>
      <c r="C51" s="33">
        <v>376.54393771400004</v>
      </c>
      <c r="D51" s="33">
        <v>135.12170595000001</v>
      </c>
      <c r="E51" s="30"/>
      <c r="F51" s="30"/>
      <c r="G51" s="30"/>
      <c r="H51" s="34">
        <f t="shared" si="1"/>
        <v>511.66564366400007</v>
      </c>
    </row>
    <row r="52" spans="1:8" ht="13" thickBot="1" x14ac:dyDescent="0.3">
      <c r="A52" s="15" t="s">
        <v>44</v>
      </c>
      <c r="B52" s="33"/>
      <c r="C52" s="33">
        <v>8.7893287999999986E-2</v>
      </c>
      <c r="D52" s="33"/>
      <c r="E52" s="30"/>
      <c r="F52" s="30"/>
      <c r="G52" s="30"/>
      <c r="H52" s="34">
        <f t="shared" si="1"/>
        <v>8.7893287999999986E-2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H53"/>
  <sheetViews>
    <sheetView workbookViewId="0">
      <selection activeCell="B7" sqref="B7:H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72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33615.67489705293</v>
      </c>
      <c r="C7" s="203">
        <f t="shared" ref="C7:G7" si="0">SUM(C8,C18,C27,C37,C47,C53)</f>
        <v>6613.1000000682598</v>
      </c>
      <c r="D7" s="203">
        <f t="shared" si="0"/>
        <v>1216.3919995664719</v>
      </c>
      <c r="E7" s="203">
        <f t="shared" si="0"/>
        <v>2449.5468240041027</v>
      </c>
      <c r="F7" s="203">
        <f t="shared" si="0"/>
        <v>9.5631582700000009E-2</v>
      </c>
      <c r="G7" s="203">
        <f t="shared" si="0"/>
        <v>40.579029246999994</v>
      </c>
      <c r="H7" s="204">
        <f>SUM(B7:G7)</f>
        <v>43935.388381521458</v>
      </c>
    </row>
    <row r="8" spans="1:8" ht="13" thickTop="1" x14ac:dyDescent="0.25">
      <c r="A8" s="14" t="s">
        <v>5</v>
      </c>
      <c r="B8" s="25">
        <f>SUM(B9,B15)</f>
        <v>29522.174860239433</v>
      </c>
      <c r="C8" s="25">
        <f>SUM(C9,C15)</f>
        <v>475.5374990078397</v>
      </c>
      <c r="D8" s="25">
        <f>SUM(D9,D15)</f>
        <v>222.50496780147182</v>
      </c>
      <c r="E8" s="26"/>
      <c r="F8" s="26"/>
      <c r="G8" s="27"/>
      <c r="H8" s="28">
        <f t="shared" ref="H8:H53" si="1">SUM(B8:G8)</f>
        <v>30220.217327048744</v>
      </c>
    </row>
    <row r="9" spans="1:8" x14ac:dyDescent="0.25">
      <c r="A9" s="15" t="s">
        <v>6</v>
      </c>
      <c r="B9" s="29">
        <f>SUM(B10:B14)</f>
        <v>29486.870601242779</v>
      </c>
      <c r="C9" s="29">
        <f>SUM(C10:C14)</f>
        <v>411.94369983414566</v>
      </c>
      <c r="D9" s="29">
        <f>SUM(D10:D14)</f>
        <v>222.47254998083397</v>
      </c>
      <c r="E9" s="30"/>
      <c r="F9" s="30"/>
      <c r="G9" s="30"/>
      <c r="H9" s="31">
        <f t="shared" si="1"/>
        <v>30121.286851057757</v>
      </c>
    </row>
    <row r="10" spans="1:8" x14ac:dyDescent="0.25">
      <c r="A10" s="32" t="s">
        <v>7</v>
      </c>
      <c r="B10" s="33">
        <v>5737.9845760830067</v>
      </c>
      <c r="C10" s="33">
        <v>12.784062124352065</v>
      </c>
      <c r="D10" s="33">
        <v>57.89565634190194</v>
      </c>
      <c r="E10" s="30"/>
      <c r="F10" s="30"/>
      <c r="G10" s="30"/>
      <c r="H10" s="34">
        <f t="shared" si="1"/>
        <v>5808.6642945492604</v>
      </c>
    </row>
    <row r="11" spans="1:8" x14ac:dyDescent="0.25">
      <c r="A11" s="32" t="s">
        <v>8</v>
      </c>
      <c r="B11" s="33">
        <v>6607.1261589642727</v>
      </c>
      <c r="C11" s="33">
        <v>187.91678224257674</v>
      </c>
      <c r="D11" s="33">
        <v>26.367195568567375</v>
      </c>
      <c r="E11" s="30"/>
      <c r="F11" s="30"/>
      <c r="G11" s="30"/>
      <c r="H11" s="34">
        <f t="shared" si="1"/>
        <v>6821.4101367754174</v>
      </c>
    </row>
    <row r="12" spans="1:8" x14ac:dyDescent="0.25">
      <c r="A12" s="32" t="s">
        <v>9</v>
      </c>
      <c r="B12" s="33">
        <v>11501.331281195497</v>
      </c>
      <c r="C12" s="35">
        <v>22.452368547216874</v>
      </c>
      <c r="D12" s="33">
        <v>109.10624002036464</v>
      </c>
      <c r="E12" s="30"/>
      <c r="F12" s="30"/>
      <c r="G12" s="30"/>
      <c r="H12" s="34">
        <f t="shared" si="1"/>
        <v>11632.889889763079</v>
      </c>
    </row>
    <row r="13" spans="1:8" x14ac:dyDescent="0.25">
      <c r="A13" s="32" t="s">
        <v>10</v>
      </c>
      <c r="B13" s="33">
        <v>5583.9800579999992</v>
      </c>
      <c r="C13" s="33">
        <v>188.76533832799998</v>
      </c>
      <c r="D13" s="33">
        <v>28.676108979999999</v>
      </c>
      <c r="E13" s="30"/>
      <c r="F13" s="30"/>
      <c r="G13" s="30"/>
      <c r="H13" s="34">
        <f t="shared" si="1"/>
        <v>5801.4215053079997</v>
      </c>
    </row>
    <row r="14" spans="1:8" x14ac:dyDescent="0.25">
      <c r="A14" s="32" t="s">
        <v>11</v>
      </c>
      <c r="B14" s="33">
        <v>56.448527000000006</v>
      </c>
      <c r="C14" s="33">
        <v>2.5148591999999997E-2</v>
      </c>
      <c r="D14" s="33">
        <v>0.42734907</v>
      </c>
      <c r="E14" s="30"/>
      <c r="F14" s="30"/>
      <c r="G14" s="30"/>
      <c r="H14" s="34">
        <f t="shared" si="1"/>
        <v>56.901024662000005</v>
      </c>
    </row>
    <row r="15" spans="1:8" x14ac:dyDescent="0.25">
      <c r="A15" s="15" t="s">
        <v>12</v>
      </c>
      <c r="B15" s="33">
        <f>SUM(B16:B17)</f>
        <v>35.304258996652457</v>
      </c>
      <c r="C15" s="33">
        <f>SUM(C16:C17)</f>
        <v>63.593799173694038</v>
      </c>
      <c r="D15" s="33">
        <f>SUM(D16:D17)</f>
        <v>3.2417820637854866E-2</v>
      </c>
      <c r="E15" s="30"/>
      <c r="F15" s="30"/>
      <c r="G15" s="30"/>
      <c r="H15" s="34">
        <f t="shared" si="1"/>
        <v>98.930475990984363</v>
      </c>
    </row>
    <row r="16" spans="1:8" x14ac:dyDescent="0.25">
      <c r="A16" s="32" t="s">
        <v>13</v>
      </c>
      <c r="B16" s="33"/>
      <c r="C16" s="33"/>
      <c r="D16" s="33"/>
      <c r="E16" s="30"/>
      <c r="F16" s="30"/>
      <c r="G16" s="30"/>
      <c r="H16" s="34">
        <f t="shared" si="1"/>
        <v>0</v>
      </c>
    </row>
    <row r="17" spans="1:8" ht="13" thickBot="1" x14ac:dyDescent="0.3">
      <c r="A17" s="36" t="s">
        <v>14</v>
      </c>
      <c r="B17" s="37">
        <v>35.304258996652457</v>
      </c>
      <c r="C17" s="37">
        <v>63.593799173694038</v>
      </c>
      <c r="D17" s="37">
        <v>3.2417820637854866E-2</v>
      </c>
      <c r="E17" s="38"/>
      <c r="F17" s="38"/>
      <c r="G17" s="38"/>
      <c r="H17" s="39">
        <f t="shared" si="1"/>
        <v>98.930475990984363</v>
      </c>
    </row>
    <row r="18" spans="1:8" x14ac:dyDescent="0.25">
      <c r="A18" s="14" t="s">
        <v>15</v>
      </c>
      <c r="B18" s="40">
        <f t="shared" ref="B18:G18" si="2">SUM(B19:B26)</f>
        <v>4086.5974358134922</v>
      </c>
      <c r="C18" s="40">
        <f t="shared" si="2"/>
        <v>90.653930852669717</v>
      </c>
      <c r="D18" s="40">
        <f t="shared" si="2"/>
        <v>87.660935230000007</v>
      </c>
      <c r="E18" s="40">
        <f t="shared" si="2"/>
        <v>2449.5468240041027</v>
      </c>
      <c r="F18" s="40">
        <f t="shared" si="2"/>
        <v>9.5631582700000009E-2</v>
      </c>
      <c r="G18" s="41">
        <f t="shared" si="2"/>
        <v>40.579029246999994</v>
      </c>
      <c r="H18" s="28">
        <f t="shared" si="1"/>
        <v>6755.1337867299644</v>
      </c>
    </row>
    <row r="19" spans="1:8" x14ac:dyDescent="0.25">
      <c r="A19" s="15" t="s">
        <v>16</v>
      </c>
      <c r="B19" s="29">
        <v>2195.5830511420518</v>
      </c>
      <c r="C19" s="29"/>
      <c r="D19" s="29"/>
      <c r="E19" s="42"/>
      <c r="F19" s="42"/>
      <c r="G19" s="42"/>
      <c r="H19" s="31">
        <f t="shared" si="1"/>
        <v>2195.5830511420518</v>
      </c>
    </row>
    <row r="20" spans="1:8" x14ac:dyDescent="0.25">
      <c r="A20" s="15" t="s">
        <v>17</v>
      </c>
      <c r="B20" s="33">
        <v>1787.0982008404242</v>
      </c>
      <c r="C20" s="33">
        <v>90.653930852669717</v>
      </c>
      <c r="D20" s="33">
        <v>20.039724</v>
      </c>
      <c r="E20" s="33"/>
      <c r="F20" s="33"/>
      <c r="G20" s="33"/>
      <c r="H20" s="34">
        <f t="shared" si="1"/>
        <v>1897.7918556930938</v>
      </c>
    </row>
    <row r="21" spans="1:8" x14ac:dyDescent="0.25">
      <c r="A21" s="15" t="s">
        <v>18</v>
      </c>
      <c r="B21" s="33">
        <v>49.309758831016104</v>
      </c>
      <c r="C21" s="33"/>
      <c r="D21" s="33"/>
      <c r="E21" s="30"/>
      <c r="F21" s="33"/>
      <c r="G21" s="43"/>
      <c r="H21" s="34">
        <f t="shared" si="1"/>
        <v>49.309758831016104</v>
      </c>
    </row>
    <row r="22" spans="1:8" x14ac:dyDescent="0.25">
      <c r="A22" s="15" t="s">
        <v>32</v>
      </c>
      <c r="B22" s="33">
        <v>54.606425000000002</v>
      </c>
      <c r="C22" s="33"/>
      <c r="D22" s="33"/>
      <c r="E22" s="30"/>
      <c r="F22" s="30"/>
      <c r="G22" s="30"/>
      <c r="H22" s="34">
        <f t="shared" si="1"/>
        <v>54.606425000000002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2449.5468240041027</v>
      </c>
      <c r="F24" s="33">
        <v>9.5631582700000009E-2</v>
      </c>
      <c r="G24" s="33"/>
      <c r="H24" s="34">
        <f t="shared" si="1"/>
        <v>2449.642455586803</v>
      </c>
    </row>
    <row r="25" spans="1:8" x14ac:dyDescent="0.25">
      <c r="A25" s="15" t="s">
        <v>34</v>
      </c>
      <c r="B25" s="33"/>
      <c r="C25" s="33"/>
      <c r="D25" s="33">
        <v>67.62121123</v>
      </c>
      <c r="E25" s="33"/>
      <c r="F25" s="33"/>
      <c r="G25" s="33">
        <v>40.579029246999994</v>
      </c>
      <c r="H25" s="34">
        <f t="shared" si="1"/>
        <v>108.20024047699999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6.9026009999999998</v>
      </c>
      <c r="C27" s="40">
        <f>SUM(C28:C36)</f>
        <v>2923.8906864160003</v>
      </c>
      <c r="D27" s="40">
        <f>SUM(D28:D36)</f>
        <v>725.84651425000004</v>
      </c>
      <c r="E27" s="45"/>
      <c r="F27" s="45"/>
      <c r="G27" s="46"/>
      <c r="H27" s="28">
        <f t="shared" si="1"/>
        <v>3656.639801666</v>
      </c>
    </row>
    <row r="28" spans="1:8" x14ac:dyDescent="0.25">
      <c r="A28" s="15" t="s">
        <v>19</v>
      </c>
      <c r="B28" s="42"/>
      <c r="C28" s="29">
        <v>1186.8871971599999</v>
      </c>
      <c r="D28" s="47"/>
      <c r="E28" s="30"/>
      <c r="F28" s="30"/>
      <c r="G28" s="30"/>
      <c r="H28" s="31">
        <f t="shared" si="1"/>
        <v>1186.8871971599999</v>
      </c>
    </row>
    <row r="29" spans="1:8" x14ac:dyDescent="0.25">
      <c r="A29" s="15" t="s">
        <v>20</v>
      </c>
      <c r="B29" s="30"/>
      <c r="C29" s="33">
        <v>1620.12280878</v>
      </c>
      <c r="D29" s="33">
        <v>331.36794938000003</v>
      </c>
      <c r="E29" s="30"/>
      <c r="F29" s="30"/>
      <c r="G29" s="30"/>
      <c r="H29" s="34">
        <f t="shared" si="1"/>
        <v>1951.49075816</v>
      </c>
    </row>
    <row r="30" spans="1:8" x14ac:dyDescent="0.25">
      <c r="A30" s="15" t="s">
        <v>21</v>
      </c>
      <c r="B30" s="30"/>
      <c r="C30" s="33">
        <v>116.09251682000001</v>
      </c>
      <c r="D30" s="48"/>
      <c r="E30" s="30"/>
      <c r="F30" s="30"/>
      <c r="G30" s="30"/>
      <c r="H30" s="34">
        <f t="shared" si="1"/>
        <v>116.09251682000001</v>
      </c>
    </row>
    <row r="31" spans="1:8" x14ac:dyDescent="0.25">
      <c r="A31" s="15" t="s">
        <v>22</v>
      </c>
      <c r="B31" s="49"/>
      <c r="C31" s="33"/>
      <c r="D31" s="33">
        <v>394.28517290499997</v>
      </c>
      <c r="E31" s="30"/>
      <c r="F31" s="30"/>
      <c r="G31" s="30"/>
      <c r="H31" s="34">
        <f t="shared" si="1"/>
        <v>394.28517290499997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0.78816365600000005</v>
      </c>
      <c r="D33" s="33">
        <v>0.19339196499999997</v>
      </c>
      <c r="E33" s="30"/>
      <c r="F33" s="30"/>
      <c r="G33" s="30"/>
      <c r="H33" s="34">
        <f t="shared" si="1"/>
        <v>0.98155562100000004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6.0080260000000001</v>
      </c>
      <c r="C35" s="50"/>
      <c r="D35" s="50"/>
      <c r="E35" s="51"/>
      <c r="F35" s="51"/>
      <c r="G35" s="51"/>
      <c r="H35" s="52">
        <f t="shared" si="1"/>
        <v>6.0080260000000001</v>
      </c>
    </row>
    <row r="36" spans="1:8" ht="13" thickBot="1" x14ac:dyDescent="0.3">
      <c r="A36" s="16" t="s">
        <v>48</v>
      </c>
      <c r="B36" s="37">
        <v>0.89457500000000001</v>
      </c>
      <c r="C36" s="37"/>
      <c r="D36" s="37"/>
      <c r="E36" s="38"/>
      <c r="F36" s="38"/>
      <c r="G36" s="38"/>
      <c r="H36" s="39">
        <f t="shared" si="1"/>
        <v>0.89457500000000001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3123.0178837917497</v>
      </c>
      <c r="D47" s="40">
        <f>SUM(D48:D52)</f>
        <v>180.379582285</v>
      </c>
      <c r="E47" s="45"/>
      <c r="F47" s="45"/>
      <c r="G47" s="46"/>
      <c r="H47" s="53">
        <f t="shared" si="1"/>
        <v>3303.3974660767499</v>
      </c>
    </row>
    <row r="48" spans="1:8" x14ac:dyDescent="0.25">
      <c r="A48" s="15" t="s">
        <v>24</v>
      </c>
      <c r="B48" s="29"/>
      <c r="C48" s="29">
        <v>2605.0744635439996</v>
      </c>
      <c r="D48" s="29"/>
      <c r="E48" s="30"/>
      <c r="F48" s="30"/>
      <c r="G48" s="30"/>
      <c r="H48" s="31">
        <f t="shared" si="1"/>
        <v>2605.0744635439996</v>
      </c>
    </row>
    <row r="49" spans="1:8" x14ac:dyDescent="0.25">
      <c r="A49" s="15" t="s">
        <v>43</v>
      </c>
      <c r="B49" s="29"/>
      <c r="C49" s="29">
        <v>58.891285208000006</v>
      </c>
      <c r="D49" s="29">
        <v>31.099636799999999</v>
      </c>
      <c r="E49" s="30"/>
      <c r="F49" s="30"/>
      <c r="G49" s="30"/>
      <c r="H49" s="31">
        <f t="shared" si="1"/>
        <v>89.990922008000013</v>
      </c>
    </row>
    <row r="50" spans="1:8" x14ac:dyDescent="0.25">
      <c r="A50" s="15" t="s">
        <v>25</v>
      </c>
      <c r="B50" s="33"/>
      <c r="C50" s="33">
        <v>10.169844915999999</v>
      </c>
      <c r="D50" s="33">
        <v>18.026608835000001</v>
      </c>
      <c r="E50" s="30"/>
      <c r="F50" s="30"/>
      <c r="G50" s="30"/>
      <c r="H50" s="34">
        <f t="shared" si="1"/>
        <v>28.196453751</v>
      </c>
    </row>
    <row r="51" spans="1:8" x14ac:dyDescent="0.25">
      <c r="A51" s="15" t="s">
        <v>42</v>
      </c>
      <c r="B51" s="30"/>
      <c r="C51" s="33">
        <v>448.77262280374998</v>
      </c>
      <c r="D51" s="33">
        <v>131.25333664999999</v>
      </c>
      <c r="E51" s="30"/>
      <c r="F51" s="30"/>
      <c r="G51" s="30"/>
      <c r="H51" s="34">
        <f t="shared" si="1"/>
        <v>580.02595945374992</v>
      </c>
    </row>
    <row r="52" spans="1:8" ht="13" thickBot="1" x14ac:dyDescent="0.3">
      <c r="A52" s="15" t="s">
        <v>44</v>
      </c>
      <c r="B52" s="33"/>
      <c r="C52" s="33">
        <v>0.10966731999999998</v>
      </c>
      <c r="D52" s="33"/>
      <c r="E52" s="30"/>
      <c r="F52" s="30"/>
      <c r="G52" s="30"/>
      <c r="H52" s="34">
        <f t="shared" si="1"/>
        <v>0.10966731999999998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H53"/>
  <sheetViews>
    <sheetView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71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36538.612492790657</v>
      </c>
      <c r="C7" s="203">
        <f t="shared" ref="C7:G7" si="0">SUM(C8,C18,C27,C37,C47,C53)</f>
        <v>6473.2905927290658</v>
      </c>
      <c r="D7" s="203">
        <f t="shared" si="0"/>
        <v>1270.5237414534122</v>
      </c>
      <c r="E7" s="203">
        <f t="shared" si="0"/>
        <v>2374.3682386927735</v>
      </c>
      <c r="F7" s="203">
        <f t="shared" si="0"/>
        <v>0.1083498702</v>
      </c>
      <c r="G7" s="203">
        <f t="shared" si="0"/>
        <v>44.116084276999999</v>
      </c>
      <c r="H7" s="204">
        <f>SUM(B7:G7)</f>
        <v>46701.019499813105</v>
      </c>
    </row>
    <row r="8" spans="1:8" ht="13" thickTop="1" x14ac:dyDescent="0.25">
      <c r="A8" s="14" t="s">
        <v>5</v>
      </c>
      <c r="B8" s="25">
        <f>SUM(B9,B15)</f>
        <v>32053.200130723744</v>
      </c>
      <c r="C8" s="25">
        <f>SUM(C9,C15)</f>
        <v>474.77333239050864</v>
      </c>
      <c r="D8" s="25">
        <f>SUM(D9,D15)</f>
        <v>239.21575944341217</v>
      </c>
      <c r="E8" s="26"/>
      <c r="F8" s="26"/>
      <c r="G8" s="27"/>
      <c r="H8" s="28">
        <f t="shared" ref="H8:H53" si="1">SUM(B8:G8)</f>
        <v>32767.189222557667</v>
      </c>
    </row>
    <row r="9" spans="1:8" x14ac:dyDescent="0.25">
      <c r="A9" s="15" t="s">
        <v>6</v>
      </c>
      <c r="B9" s="29">
        <f>SUM(B10:B14)</f>
        <v>31954.549414276313</v>
      </c>
      <c r="C9" s="29">
        <f>SUM(C10:C14)</f>
        <v>386.91238548891511</v>
      </c>
      <c r="D9" s="29">
        <f>SUM(D10:D14)</f>
        <v>239.19004550765723</v>
      </c>
      <c r="E9" s="30"/>
      <c r="F9" s="30"/>
      <c r="G9" s="30"/>
      <c r="H9" s="31">
        <f t="shared" si="1"/>
        <v>32580.651845272885</v>
      </c>
    </row>
    <row r="10" spans="1:8" x14ac:dyDescent="0.25">
      <c r="A10" s="32" t="s">
        <v>7</v>
      </c>
      <c r="B10" s="33">
        <v>6303.9683416500484</v>
      </c>
      <c r="C10" s="33">
        <v>14.109647691635175</v>
      </c>
      <c r="D10" s="33">
        <v>66.234604021575123</v>
      </c>
      <c r="E10" s="30"/>
      <c r="F10" s="30"/>
      <c r="G10" s="30"/>
      <c r="H10" s="34">
        <f t="shared" si="1"/>
        <v>6384.3125933632591</v>
      </c>
    </row>
    <row r="11" spans="1:8" x14ac:dyDescent="0.25">
      <c r="A11" s="32" t="s">
        <v>8</v>
      </c>
      <c r="B11" s="33">
        <v>6791.7776994490141</v>
      </c>
      <c r="C11" s="33">
        <v>167.2131607581907</v>
      </c>
      <c r="D11" s="33">
        <v>25.738398904831865</v>
      </c>
      <c r="E11" s="30"/>
      <c r="F11" s="30"/>
      <c r="G11" s="30"/>
      <c r="H11" s="34">
        <f t="shared" si="1"/>
        <v>6984.7292591120367</v>
      </c>
    </row>
    <row r="12" spans="1:8" x14ac:dyDescent="0.25">
      <c r="A12" s="32" t="s">
        <v>9</v>
      </c>
      <c r="B12" s="33">
        <v>13037.596520177251</v>
      </c>
      <c r="C12" s="35">
        <v>26.398952391089274</v>
      </c>
      <c r="D12" s="33">
        <v>118.16086000125026</v>
      </c>
      <c r="E12" s="30"/>
      <c r="F12" s="30"/>
      <c r="G12" s="30"/>
      <c r="H12" s="34">
        <f t="shared" si="1"/>
        <v>13182.15633256959</v>
      </c>
    </row>
    <row r="13" spans="1:8" x14ac:dyDescent="0.25">
      <c r="A13" s="32" t="s">
        <v>10</v>
      </c>
      <c r="B13" s="33">
        <v>5754.5349550000001</v>
      </c>
      <c r="C13" s="33">
        <v>179.14666002799999</v>
      </c>
      <c r="D13" s="33">
        <v>28.55596487</v>
      </c>
      <c r="E13" s="30"/>
      <c r="F13" s="30"/>
      <c r="G13" s="30"/>
      <c r="H13" s="34">
        <f t="shared" si="1"/>
        <v>5962.2375798980001</v>
      </c>
    </row>
    <row r="14" spans="1:8" x14ac:dyDescent="0.25">
      <c r="A14" s="32" t="s">
        <v>11</v>
      </c>
      <c r="B14" s="33">
        <v>66.671897999999999</v>
      </c>
      <c r="C14" s="33">
        <v>4.3964620000000003E-2</v>
      </c>
      <c r="D14" s="33">
        <v>0.50021771000000004</v>
      </c>
      <c r="E14" s="30"/>
      <c r="F14" s="30"/>
      <c r="G14" s="30"/>
      <c r="H14" s="34">
        <f t="shared" si="1"/>
        <v>67.216080329999997</v>
      </c>
    </row>
    <row r="15" spans="1:8" x14ac:dyDescent="0.25">
      <c r="A15" s="15" t="s">
        <v>12</v>
      </c>
      <c r="B15" s="33">
        <f>SUM(B16:B17)</f>
        <v>98.650716447433211</v>
      </c>
      <c r="C15" s="33">
        <f>SUM(C16:C17)</f>
        <v>87.860946901593522</v>
      </c>
      <c r="D15" s="33">
        <f>SUM(D16:D17)</f>
        <v>2.571393575493508E-2</v>
      </c>
      <c r="E15" s="30"/>
      <c r="F15" s="30"/>
      <c r="G15" s="30"/>
      <c r="H15" s="34">
        <f t="shared" si="1"/>
        <v>186.53737728478166</v>
      </c>
    </row>
    <row r="16" spans="1:8" x14ac:dyDescent="0.25">
      <c r="A16" s="32" t="s">
        <v>13</v>
      </c>
      <c r="B16" s="33"/>
      <c r="C16" s="33"/>
      <c r="D16" s="33"/>
      <c r="E16" s="30"/>
      <c r="F16" s="30"/>
      <c r="G16" s="30"/>
      <c r="H16" s="34">
        <f t="shared" si="1"/>
        <v>0</v>
      </c>
    </row>
    <row r="17" spans="1:8" ht="13" thickBot="1" x14ac:dyDescent="0.3">
      <c r="A17" s="36" t="s">
        <v>14</v>
      </c>
      <c r="B17" s="37">
        <v>98.650716447433211</v>
      </c>
      <c r="C17" s="37">
        <v>87.860946901593522</v>
      </c>
      <c r="D17" s="37">
        <v>2.571393575493508E-2</v>
      </c>
      <c r="E17" s="38"/>
      <c r="F17" s="38"/>
      <c r="G17" s="38"/>
      <c r="H17" s="39">
        <f t="shared" si="1"/>
        <v>186.53737728478166</v>
      </c>
    </row>
    <row r="18" spans="1:8" x14ac:dyDescent="0.25">
      <c r="A18" s="14" t="s">
        <v>15</v>
      </c>
      <c r="B18" s="40">
        <f t="shared" ref="B18:G18" si="2">SUM(B19:B26)</f>
        <v>4477.504695066913</v>
      </c>
      <c r="C18" s="40">
        <f t="shared" si="2"/>
        <v>100.55709004230742</v>
      </c>
      <c r="D18" s="40">
        <f t="shared" si="2"/>
        <v>106.032302175</v>
      </c>
      <c r="E18" s="40">
        <f t="shared" si="2"/>
        <v>2374.3682386927735</v>
      </c>
      <c r="F18" s="40">
        <f t="shared" si="2"/>
        <v>0.1083498702</v>
      </c>
      <c r="G18" s="41">
        <f t="shared" si="2"/>
        <v>44.116084276999999</v>
      </c>
      <c r="H18" s="28">
        <f t="shared" si="1"/>
        <v>7102.6867601241938</v>
      </c>
    </row>
    <row r="19" spans="1:8" x14ac:dyDescent="0.25">
      <c r="A19" s="15" t="s">
        <v>16</v>
      </c>
      <c r="B19" s="29">
        <v>2423.7805955811655</v>
      </c>
      <c r="C19" s="29"/>
      <c r="D19" s="29"/>
      <c r="E19" s="42"/>
      <c r="F19" s="42"/>
      <c r="G19" s="42"/>
      <c r="H19" s="31">
        <f t="shared" si="1"/>
        <v>2423.7805955811655</v>
      </c>
    </row>
    <row r="20" spans="1:8" x14ac:dyDescent="0.25">
      <c r="A20" s="15" t="s">
        <v>17</v>
      </c>
      <c r="B20" s="33">
        <v>1937.5872575479455</v>
      </c>
      <c r="C20" s="33">
        <v>100.55709004230742</v>
      </c>
      <c r="D20" s="33">
        <v>21.634812</v>
      </c>
      <c r="E20" s="33"/>
      <c r="F20" s="33"/>
      <c r="G20" s="33"/>
      <c r="H20" s="34">
        <f t="shared" si="1"/>
        <v>2059.7791595902527</v>
      </c>
    </row>
    <row r="21" spans="1:8" x14ac:dyDescent="0.25">
      <c r="A21" s="15" t="s">
        <v>18</v>
      </c>
      <c r="B21" s="33">
        <v>60.717741937802238</v>
      </c>
      <c r="C21" s="33"/>
      <c r="D21" s="33"/>
      <c r="E21" s="30"/>
      <c r="F21" s="33"/>
      <c r="G21" s="43"/>
      <c r="H21" s="34">
        <f t="shared" si="1"/>
        <v>60.717741937802238</v>
      </c>
    </row>
    <row r="22" spans="1:8" x14ac:dyDescent="0.25">
      <c r="A22" s="15" t="s">
        <v>32</v>
      </c>
      <c r="B22" s="33">
        <v>55.4191</v>
      </c>
      <c r="C22" s="33"/>
      <c r="D22" s="33"/>
      <c r="E22" s="30"/>
      <c r="F22" s="30"/>
      <c r="G22" s="30"/>
      <c r="H22" s="34">
        <f t="shared" si="1"/>
        <v>55.4191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2374.3682386927735</v>
      </c>
      <c r="F24" s="33">
        <v>0.1083498702</v>
      </c>
      <c r="G24" s="33"/>
      <c r="H24" s="34">
        <f t="shared" si="1"/>
        <v>2374.4765885629736</v>
      </c>
    </row>
    <row r="25" spans="1:8" x14ac:dyDescent="0.25">
      <c r="A25" s="15" t="s">
        <v>34</v>
      </c>
      <c r="B25" s="33"/>
      <c r="C25" s="33"/>
      <c r="D25" s="33">
        <v>84.397490175000001</v>
      </c>
      <c r="E25" s="33"/>
      <c r="F25" s="33"/>
      <c r="G25" s="33">
        <v>44.116084276999999</v>
      </c>
      <c r="H25" s="34">
        <f t="shared" si="1"/>
        <v>128.513574452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7.907667</v>
      </c>
      <c r="C27" s="40">
        <f>SUM(C28:C36)</f>
        <v>2944.4407912359998</v>
      </c>
      <c r="D27" s="40">
        <f>SUM(D28:D36)</f>
        <v>739.96197112499999</v>
      </c>
      <c r="E27" s="45"/>
      <c r="F27" s="45"/>
      <c r="G27" s="46"/>
      <c r="H27" s="28">
        <f t="shared" si="1"/>
        <v>3692.3104293609995</v>
      </c>
    </row>
    <row r="28" spans="1:8" x14ac:dyDescent="0.25">
      <c r="A28" s="15" t="s">
        <v>19</v>
      </c>
      <c r="B28" s="42"/>
      <c r="C28" s="29">
        <v>1184.3463413879999</v>
      </c>
      <c r="D28" s="47"/>
      <c r="E28" s="30"/>
      <c r="F28" s="30"/>
      <c r="G28" s="30"/>
      <c r="H28" s="31">
        <f t="shared" si="1"/>
        <v>1184.3463413879999</v>
      </c>
    </row>
    <row r="29" spans="1:8" x14ac:dyDescent="0.25">
      <c r="A29" s="15" t="s">
        <v>20</v>
      </c>
      <c r="B29" s="30"/>
      <c r="C29" s="33">
        <v>1642.0207709920001</v>
      </c>
      <c r="D29" s="33">
        <v>335.08636710500002</v>
      </c>
      <c r="E29" s="30"/>
      <c r="F29" s="30"/>
      <c r="G29" s="30"/>
      <c r="H29" s="34">
        <f t="shared" si="1"/>
        <v>1977.1071380970002</v>
      </c>
    </row>
    <row r="30" spans="1:8" x14ac:dyDescent="0.25">
      <c r="A30" s="15" t="s">
        <v>21</v>
      </c>
      <c r="B30" s="30"/>
      <c r="C30" s="33">
        <v>117.309804052</v>
      </c>
      <c r="D30" s="48"/>
      <c r="E30" s="30"/>
      <c r="F30" s="30"/>
      <c r="G30" s="30"/>
      <c r="H30" s="34">
        <f t="shared" si="1"/>
        <v>117.309804052</v>
      </c>
    </row>
    <row r="31" spans="1:8" x14ac:dyDescent="0.25">
      <c r="A31" s="15" t="s">
        <v>22</v>
      </c>
      <c r="B31" s="49"/>
      <c r="C31" s="33"/>
      <c r="D31" s="33">
        <v>404.68817190499999</v>
      </c>
      <c r="E31" s="30"/>
      <c r="F31" s="30"/>
      <c r="G31" s="30"/>
      <c r="H31" s="34">
        <f t="shared" si="1"/>
        <v>404.68817190499999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0.76387480399999996</v>
      </c>
      <c r="D33" s="33">
        <v>0.18743211500000001</v>
      </c>
      <c r="E33" s="30"/>
      <c r="F33" s="30"/>
      <c r="G33" s="30"/>
      <c r="H33" s="34">
        <f t="shared" si="1"/>
        <v>0.95130691899999997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6.7476979999999998</v>
      </c>
      <c r="C35" s="50"/>
      <c r="D35" s="50"/>
      <c r="E35" s="51"/>
      <c r="F35" s="51"/>
      <c r="G35" s="51"/>
      <c r="H35" s="52">
        <f t="shared" si="1"/>
        <v>6.7476979999999998</v>
      </c>
    </row>
    <row r="36" spans="1:8" ht="13" thickBot="1" x14ac:dyDescent="0.3">
      <c r="A36" s="16" t="s">
        <v>48</v>
      </c>
      <c r="B36" s="37">
        <v>1.159969</v>
      </c>
      <c r="C36" s="37"/>
      <c r="D36" s="37"/>
      <c r="E36" s="38"/>
      <c r="F36" s="38"/>
      <c r="G36" s="38"/>
      <c r="H36" s="39">
        <f t="shared" si="1"/>
        <v>1.159969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2953.5193790602498</v>
      </c>
      <c r="D47" s="40">
        <f>SUM(D48:D52)</f>
        <v>185.31370870999999</v>
      </c>
      <c r="E47" s="45"/>
      <c r="F47" s="45"/>
      <c r="G47" s="46"/>
      <c r="H47" s="53">
        <f t="shared" si="1"/>
        <v>3138.8330877702497</v>
      </c>
    </row>
    <row r="48" spans="1:8" x14ac:dyDescent="0.25">
      <c r="A48" s="15" t="s">
        <v>24</v>
      </c>
      <c r="B48" s="29"/>
      <c r="C48" s="29">
        <v>2400.7440938879995</v>
      </c>
      <c r="D48" s="29"/>
      <c r="E48" s="30"/>
      <c r="F48" s="30"/>
      <c r="G48" s="30"/>
      <c r="H48" s="31">
        <f t="shared" si="1"/>
        <v>2400.7440938879995</v>
      </c>
    </row>
    <row r="49" spans="1:8" x14ac:dyDescent="0.25">
      <c r="A49" s="15" t="s">
        <v>43</v>
      </c>
      <c r="B49" s="29"/>
      <c r="C49" s="29">
        <v>63.375485040000001</v>
      </c>
      <c r="D49" s="29">
        <v>34.884599999999999</v>
      </c>
      <c r="E49" s="30"/>
      <c r="F49" s="30"/>
      <c r="G49" s="30"/>
      <c r="H49" s="31">
        <f t="shared" si="1"/>
        <v>98.260085040000007</v>
      </c>
    </row>
    <row r="50" spans="1:8" x14ac:dyDescent="0.25">
      <c r="A50" s="15" t="s">
        <v>25</v>
      </c>
      <c r="B50" s="33"/>
      <c r="C50" s="33">
        <v>10.859184196000001</v>
      </c>
      <c r="D50" s="33">
        <v>19.441108610000001</v>
      </c>
      <c r="E50" s="30"/>
      <c r="F50" s="30"/>
      <c r="G50" s="30"/>
      <c r="H50" s="34">
        <f t="shared" si="1"/>
        <v>30.300292806000002</v>
      </c>
    </row>
    <row r="51" spans="1:8" x14ac:dyDescent="0.25">
      <c r="A51" s="15" t="s">
        <v>42</v>
      </c>
      <c r="B51" s="30"/>
      <c r="C51" s="33">
        <v>478.43115326825</v>
      </c>
      <c r="D51" s="33">
        <v>130.98800009999999</v>
      </c>
      <c r="E51" s="30"/>
      <c r="F51" s="30"/>
      <c r="G51" s="30"/>
      <c r="H51" s="34">
        <f t="shared" si="1"/>
        <v>609.41915336825002</v>
      </c>
    </row>
    <row r="52" spans="1:8" ht="13" thickBot="1" x14ac:dyDescent="0.3">
      <c r="A52" s="15" t="s">
        <v>44</v>
      </c>
      <c r="B52" s="33"/>
      <c r="C52" s="33">
        <v>0.109462668</v>
      </c>
      <c r="D52" s="33"/>
      <c r="E52" s="30"/>
      <c r="F52" s="30"/>
      <c r="G52" s="30"/>
      <c r="H52" s="34">
        <f t="shared" si="1"/>
        <v>0.109462668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H53"/>
  <sheetViews>
    <sheetView topLeftCell="A16"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70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39134.576464109734</v>
      </c>
      <c r="C7" s="203">
        <f t="shared" ref="C7:G7" si="0">SUM(C8,C18,C27,C37,C47,C53)</f>
        <v>6214.240674656161</v>
      </c>
      <c r="D7" s="203">
        <f t="shared" si="0"/>
        <v>1316.2391521599855</v>
      </c>
      <c r="E7" s="203">
        <f t="shared" si="0"/>
        <v>2362.5820337939463</v>
      </c>
      <c r="F7" s="203">
        <f t="shared" si="0"/>
        <v>0.11355663040000001</v>
      </c>
      <c r="G7" s="203">
        <f t="shared" si="0"/>
        <v>43.514795651999997</v>
      </c>
      <c r="H7" s="204">
        <f>SUM(B7:G7)</f>
        <v>49071.266677002226</v>
      </c>
    </row>
    <row r="8" spans="1:8" ht="13" thickTop="1" x14ac:dyDescent="0.25">
      <c r="A8" s="14" t="s">
        <v>5</v>
      </c>
      <c r="B8" s="25">
        <f>SUM(B9,B15)</f>
        <v>34135.66039500614</v>
      </c>
      <c r="C8" s="25">
        <f>SUM(C9,C15)</f>
        <v>472.72169099784435</v>
      </c>
      <c r="D8" s="25">
        <f>SUM(D9,D15)</f>
        <v>231.91033796998559</v>
      </c>
      <c r="E8" s="26"/>
      <c r="F8" s="26"/>
      <c r="G8" s="27"/>
      <c r="H8" s="28">
        <f t="shared" ref="H8:H53" si="1">SUM(B8:G8)</f>
        <v>34840.292423973973</v>
      </c>
    </row>
    <row r="9" spans="1:8" x14ac:dyDescent="0.25">
      <c r="A9" s="15" t="s">
        <v>6</v>
      </c>
      <c r="B9" s="29">
        <f>SUM(B10:B14)</f>
        <v>34072.487841671573</v>
      </c>
      <c r="C9" s="29">
        <f>SUM(C10:C14)</f>
        <v>404.96330039120664</v>
      </c>
      <c r="D9" s="29">
        <f>SUM(D10:D14)</f>
        <v>231.88003081440974</v>
      </c>
      <c r="E9" s="30"/>
      <c r="F9" s="30"/>
      <c r="G9" s="30"/>
      <c r="H9" s="31">
        <f t="shared" si="1"/>
        <v>34709.331172877195</v>
      </c>
    </row>
    <row r="10" spans="1:8" x14ac:dyDescent="0.25">
      <c r="A10" s="32" t="s">
        <v>7</v>
      </c>
      <c r="B10" s="33">
        <v>6428.6804734177094</v>
      </c>
      <c r="C10" s="33">
        <v>26.795959369167278</v>
      </c>
      <c r="D10" s="33">
        <v>59.662056825189595</v>
      </c>
      <c r="E10" s="30"/>
      <c r="F10" s="30"/>
      <c r="G10" s="30"/>
      <c r="H10" s="34">
        <f t="shared" si="1"/>
        <v>6515.1384896120662</v>
      </c>
    </row>
    <row r="11" spans="1:8" x14ac:dyDescent="0.25">
      <c r="A11" s="32" t="s">
        <v>8</v>
      </c>
      <c r="B11" s="33">
        <v>7309.2717945567729</v>
      </c>
      <c r="C11" s="33">
        <v>168.55699232185145</v>
      </c>
      <c r="D11" s="33">
        <v>24.61923995992376</v>
      </c>
      <c r="E11" s="30"/>
      <c r="F11" s="30"/>
      <c r="G11" s="30"/>
      <c r="H11" s="34">
        <f t="shared" si="1"/>
        <v>7502.4480268385487</v>
      </c>
    </row>
    <row r="12" spans="1:8" x14ac:dyDescent="0.25">
      <c r="A12" s="32" t="s">
        <v>9</v>
      </c>
      <c r="B12" s="33">
        <v>13520.415158697095</v>
      </c>
      <c r="C12" s="35">
        <v>28.277002100187914</v>
      </c>
      <c r="D12" s="33">
        <v>117.97270843429641</v>
      </c>
      <c r="E12" s="30"/>
      <c r="F12" s="30"/>
      <c r="G12" s="30"/>
      <c r="H12" s="34">
        <f t="shared" si="1"/>
        <v>13666.664869231578</v>
      </c>
    </row>
    <row r="13" spans="1:8" x14ac:dyDescent="0.25">
      <c r="A13" s="32" t="s">
        <v>10</v>
      </c>
      <c r="B13" s="33">
        <v>6744.3120229999995</v>
      </c>
      <c r="C13" s="33">
        <v>181.29366102399999</v>
      </c>
      <c r="D13" s="33">
        <v>29.104477239999998</v>
      </c>
      <c r="E13" s="30"/>
      <c r="F13" s="30"/>
      <c r="G13" s="30"/>
      <c r="H13" s="34">
        <f t="shared" si="1"/>
        <v>6954.7101612639999</v>
      </c>
    </row>
    <row r="14" spans="1:8" x14ac:dyDescent="0.25">
      <c r="A14" s="32" t="s">
        <v>11</v>
      </c>
      <c r="B14" s="33">
        <v>69.808391999999998</v>
      </c>
      <c r="C14" s="33">
        <v>3.9685576E-2</v>
      </c>
      <c r="D14" s="33">
        <v>0.52154835499999996</v>
      </c>
      <c r="E14" s="30"/>
      <c r="F14" s="30"/>
      <c r="G14" s="30"/>
      <c r="H14" s="34">
        <f t="shared" si="1"/>
        <v>70.369625930999987</v>
      </c>
    </row>
    <row r="15" spans="1:8" x14ac:dyDescent="0.25">
      <c r="A15" s="15" t="s">
        <v>12</v>
      </c>
      <c r="B15" s="33">
        <f>SUM(B16:B17)</f>
        <v>63.172553334568676</v>
      </c>
      <c r="C15" s="33">
        <f>SUM(C16:C17)</f>
        <v>67.758390606637676</v>
      </c>
      <c r="D15" s="33">
        <f>SUM(D16:D17)</f>
        <v>3.0307155575868234E-2</v>
      </c>
      <c r="E15" s="30"/>
      <c r="F15" s="30"/>
      <c r="G15" s="30"/>
      <c r="H15" s="34">
        <f t="shared" si="1"/>
        <v>130.96125109678221</v>
      </c>
    </row>
    <row r="16" spans="1:8" x14ac:dyDescent="0.25">
      <c r="A16" s="32" t="s">
        <v>13</v>
      </c>
      <c r="B16" s="33"/>
      <c r="C16" s="33"/>
      <c r="D16" s="33"/>
      <c r="E16" s="30"/>
      <c r="F16" s="30"/>
      <c r="G16" s="30"/>
      <c r="H16" s="34">
        <f t="shared" si="1"/>
        <v>0</v>
      </c>
    </row>
    <row r="17" spans="1:8" ht="13" thickBot="1" x14ac:dyDescent="0.3">
      <c r="A17" s="36" t="s">
        <v>14</v>
      </c>
      <c r="B17" s="37">
        <v>63.172553334568676</v>
      </c>
      <c r="C17" s="37">
        <v>67.758390606637676</v>
      </c>
      <c r="D17" s="37">
        <v>3.0307155575868234E-2</v>
      </c>
      <c r="E17" s="38"/>
      <c r="F17" s="38"/>
      <c r="G17" s="38"/>
      <c r="H17" s="39">
        <f t="shared" si="1"/>
        <v>130.96125109678221</v>
      </c>
    </row>
    <row r="18" spans="1:8" x14ac:dyDescent="0.25">
      <c r="A18" s="14" t="s">
        <v>15</v>
      </c>
      <c r="B18" s="40">
        <f t="shared" ref="B18:G18" si="2">SUM(B19:B26)</f>
        <v>4986.5151421035898</v>
      </c>
      <c r="C18" s="40">
        <f t="shared" si="2"/>
        <v>105.65421292281668</v>
      </c>
      <c r="D18" s="40">
        <f t="shared" si="2"/>
        <v>115.7623297</v>
      </c>
      <c r="E18" s="40">
        <f t="shared" si="2"/>
        <v>2362.5820337939463</v>
      </c>
      <c r="F18" s="40">
        <f t="shared" si="2"/>
        <v>0.11355663040000001</v>
      </c>
      <c r="G18" s="41">
        <f t="shared" si="2"/>
        <v>43.514795651999997</v>
      </c>
      <c r="H18" s="28">
        <f t="shared" si="1"/>
        <v>7614.1420708027536</v>
      </c>
    </row>
    <row r="19" spans="1:8" x14ac:dyDescent="0.25">
      <c r="A19" s="15" t="s">
        <v>16</v>
      </c>
      <c r="B19" s="29">
        <v>2783.09747344876</v>
      </c>
      <c r="C19" s="29"/>
      <c r="D19" s="29"/>
      <c r="E19" s="42"/>
      <c r="F19" s="42"/>
      <c r="G19" s="42"/>
      <c r="H19" s="31">
        <f t="shared" si="1"/>
        <v>2783.09747344876</v>
      </c>
    </row>
    <row r="20" spans="1:8" x14ac:dyDescent="0.25">
      <c r="A20" s="15" t="s">
        <v>17</v>
      </c>
      <c r="B20" s="33">
        <v>2082.4956189175687</v>
      </c>
      <c r="C20" s="33">
        <v>105.65421292281668</v>
      </c>
      <c r="D20" s="33">
        <v>18.949301999999999</v>
      </c>
      <c r="E20" s="33"/>
      <c r="F20" s="33"/>
      <c r="G20" s="33"/>
      <c r="H20" s="34">
        <f t="shared" si="1"/>
        <v>2207.0991338403855</v>
      </c>
    </row>
    <row r="21" spans="1:8" x14ac:dyDescent="0.25">
      <c r="A21" s="15" t="s">
        <v>18</v>
      </c>
      <c r="B21" s="33">
        <v>63.311417737260463</v>
      </c>
      <c r="C21" s="33"/>
      <c r="D21" s="33"/>
      <c r="E21" s="30"/>
      <c r="F21" s="33"/>
      <c r="G21" s="43"/>
      <c r="H21" s="34">
        <f t="shared" si="1"/>
        <v>63.311417737260463</v>
      </c>
    </row>
    <row r="22" spans="1:8" x14ac:dyDescent="0.25">
      <c r="A22" s="15" t="s">
        <v>32</v>
      </c>
      <c r="B22" s="33">
        <v>57.610632000000003</v>
      </c>
      <c r="C22" s="33"/>
      <c r="D22" s="33"/>
      <c r="E22" s="30"/>
      <c r="F22" s="30"/>
      <c r="G22" s="30"/>
      <c r="H22" s="34">
        <f t="shared" si="1"/>
        <v>57.610632000000003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2362.5820337939463</v>
      </c>
      <c r="F24" s="33">
        <v>0.11355663040000001</v>
      </c>
      <c r="G24" s="33"/>
      <c r="H24" s="34">
        <f t="shared" si="1"/>
        <v>2362.6955904243464</v>
      </c>
    </row>
    <row r="25" spans="1:8" x14ac:dyDescent="0.25">
      <c r="A25" s="15" t="s">
        <v>34</v>
      </c>
      <c r="B25" s="33"/>
      <c r="C25" s="33"/>
      <c r="D25" s="33">
        <v>96.813027699999992</v>
      </c>
      <c r="E25" s="33"/>
      <c r="F25" s="33"/>
      <c r="G25" s="33">
        <v>43.514795651999997</v>
      </c>
      <c r="H25" s="34">
        <f t="shared" si="1"/>
        <v>140.327823352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12.400926999999999</v>
      </c>
      <c r="C27" s="40">
        <f>SUM(C28:C36)</f>
        <v>2752.7413327680001</v>
      </c>
      <c r="D27" s="40">
        <f>SUM(D28:D36)</f>
        <v>759.80654408999999</v>
      </c>
      <c r="E27" s="45"/>
      <c r="F27" s="45"/>
      <c r="G27" s="46"/>
      <c r="H27" s="28">
        <f t="shared" si="1"/>
        <v>3524.9488038580002</v>
      </c>
    </row>
    <row r="28" spans="1:8" x14ac:dyDescent="0.25">
      <c r="A28" s="15" t="s">
        <v>19</v>
      </c>
      <c r="B28" s="42"/>
      <c r="C28" s="29">
        <v>1186.514402836</v>
      </c>
      <c r="D28" s="47"/>
      <c r="E28" s="30"/>
      <c r="F28" s="30"/>
      <c r="G28" s="30"/>
      <c r="H28" s="31">
        <f t="shared" si="1"/>
        <v>1186.514402836</v>
      </c>
    </row>
    <row r="29" spans="1:8" x14ac:dyDescent="0.25">
      <c r="A29" s="15" t="s">
        <v>20</v>
      </c>
      <c r="B29" s="30"/>
      <c r="C29" s="33">
        <v>1447.3553199</v>
      </c>
      <c r="D29" s="33">
        <v>330.19065243</v>
      </c>
      <c r="E29" s="30"/>
      <c r="F29" s="30"/>
      <c r="G29" s="30"/>
      <c r="H29" s="34">
        <f t="shared" si="1"/>
        <v>1777.54597233</v>
      </c>
    </row>
    <row r="30" spans="1:8" x14ac:dyDescent="0.25">
      <c r="A30" s="15" t="s">
        <v>21</v>
      </c>
      <c r="B30" s="30"/>
      <c r="C30" s="33">
        <v>118.221379892</v>
      </c>
      <c r="D30" s="48"/>
      <c r="E30" s="30"/>
      <c r="F30" s="30"/>
      <c r="G30" s="30"/>
      <c r="H30" s="34">
        <f t="shared" si="1"/>
        <v>118.221379892</v>
      </c>
    </row>
    <row r="31" spans="1:8" x14ac:dyDescent="0.25">
      <c r="A31" s="15" t="s">
        <v>22</v>
      </c>
      <c r="B31" s="49"/>
      <c r="C31" s="33"/>
      <c r="D31" s="33">
        <v>429.45634443500001</v>
      </c>
      <c r="E31" s="30"/>
      <c r="F31" s="30"/>
      <c r="G31" s="30"/>
      <c r="H31" s="34">
        <f t="shared" si="1"/>
        <v>429.45634443500001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0.65023014000000001</v>
      </c>
      <c r="D33" s="33">
        <v>0.15954722500000001</v>
      </c>
      <c r="E33" s="30"/>
      <c r="F33" s="30"/>
      <c r="G33" s="30"/>
      <c r="H33" s="34">
        <f t="shared" si="1"/>
        <v>0.80977736499999997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10.576079</v>
      </c>
      <c r="C35" s="50"/>
      <c r="D35" s="50"/>
      <c r="E35" s="51"/>
      <c r="F35" s="51"/>
      <c r="G35" s="51"/>
      <c r="H35" s="52">
        <f t="shared" si="1"/>
        <v>10.576079</v>
      </c>
    </row>
    <row r="36" spans="1:8" ht="13" thickBot="1" x14ac:dyDescent="0.3">
      <c r="A36" s="16" t="s">
        <v>48</v>
      </c>
      <c r="B36" s="37">
        <v>1.824848</v>
      </c>
      <c r="C36" s="37"/>
      <c r="D36" s="37"/>
      <c r="E36" s="38"/>
      <c r="F36" s="38"/>
      <c r="G36" s="38"/>
      <c r="H36" s="39">
        <f t="shared" si="1"/>
        <v>1.824848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2883.1234379674997</v>
      </c>
      <c r="D47" s="40">
        <f>SUM(D48:D52)</f>
        <v>208.7599404</v>
      </c>
      <c r="E47" s="45"/>
      <c r="F47" s="45"/>
      <c r="G47" s="46"/>
      <c r="H47" s="53">
        <f t="shared" si="1"/>
        <v>3091.8833783675</v>
      </c>
    </row>
    <row r="48" spans="1:8" x14ac:dyDescent="0.25">
      <c r="A48" s="15" t="s">
        <v>24</v>
      </c>
      <c r="B48" s="29"/>
      <c r="C48" s="29">
        <v>2333.1600846679999</v>
      </c>
      <c r="D48" s="29"/>
      <c r="E48" s="30"/>
      <c r="F48" s="30"/>
      <c r="G48" s="30"/>
      <c r="H48" s="31">
        <f t="shared" si="1"/>
        <v>2333.1600846679999</v>
      </c>
    </row>
    <row r="49" spans="1:8" x14ac:dyDescent="0.25">
      <c r="A49" s="15" t="s">
        <v>43</v>
      </c>
      <c r="B49" s="29"/>
      <c r="C49" s="29">
        <v>66.258035872000008</v>
      </c>
      <c r="D49" s="29">
        <v>36.694910399999998</v>
      </c>
      <c r="E49" s="30"/>
      <c r="F49" s="30"/>
      <c r="G49" s="30"/>
      <c r="H49" s="31">
        <f t="shared" si="1"/>
        <v>102.95294627200001</v>
      </c>
    </row>
    <row r="50" spans="1:8" x14ac:dyDescent="0.25">
      <c r="A50" s="15" t="s">
        <v>25</v>
      </c>
      <c r="B50" s="33"/>
      <c r="C50" s="33">
        <v>13.16785204</v>
      </c>
      <c r="D50" s="33">
        <v>20.875897050000003</v>
      </c>
      <c r="E50" s="30"/>
      <c r="F50" s="30"/>
      <c r="G50" s="30"/>
      <c r="H50" s="34">
        <f t="shared" si="1"/>
        <v>34.043749090000006</v>
      </c>
    </row>
    <row r="51" spans="1:8" x14ac:dyDescent="0.25">
      <c r="A51" s="15" t="s">
        <v>42</v>
      </c>
      <c r="B51" s="30"/>
      <c r="C51" s="33">
        <v>470.42372199549999</v>
      </c>
      <c r="D51" s="33">
        <v>151.18913294999999</v>
      </c>
      <c r="E51" s="30"/>
      <c r="F51" s="30"/>
      <c r="G51" s="30"/>
      <c r="H51" s="34">
        <f t="shared" si="1"/>
        <v>621.61285494549998</v>
      </c>
    </row>
    <row r="52" spans="1:8" ht="13" thickBot="1" x14ac:dyDescent="0.3">
      <c r="A52" s="15" t="s">
        <v>44</v>
      </c>
      <c r="B52" s="33"/>
      <c r="C52" s="33">
        <v>0.11374339200000001</v>
      </c>
      <c r="D52" s="33"/>
      <c r="E52" s="30"/>
      <c r="F52" s="30"/>
      <c r="G52" s="30"/>
      <c r="H52" s="34">
        <f t="shared" si="1"/>
        <v>0.11374339200000001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1:H53"/>
  <sheetViews>
    <sheetView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69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39588.084165088629</v>
      </c>
      <c r="C7" s="203">
        <f t="shared" ref="C7:G7" si="0">SUM(C8,C18,C27,C37,C47,C53)</f>
        <v>6676.3207481000154</v>
      </c>
      <c r="D7" s="203">
        <f t="shared" si="0"/>
        <v>1334.5892419067386</v>
      </c>
      <c r="E7" s="203">
        <f t="shared" si="0"/>
        <v>2358.5159529415628</v>
      </c>
      <c r="F7" s="203">
        <f t="shared" si="0"/>
        <v>0.11425162269999999</v>
      </c>
      <c r="G7" s="203">
        <f t="shared" si="0"/>
        <v>42.9083527015</v>
      </c>
      <c r="H7" s="204">
        <f>SUM(B7:G7)</f>
        <v>50000.532712361142</v>
      </c>
    </row>
    <row r="8" spans="1:8" ht="13" thickTop="1" x14ac:dyDescent="0.25">
      <c r="A8" s="14" t="s">
        <v>5</v>
      </c>
      <c r="B8" s="25">
        <f>SUM(B9,B15)</f>
        <v>34761.211556155416</v>
      </c>
      <c r="C8" s="25">
        <f>SUM(C9,C15)</f>
        <v>473.89355675851436</v>
      </c>
      <c r="D8" s="25">
        <f>SUM(D9,D15)</f>
        <v>244.03350700673855</v>
      </c>
      <c r="E8" s="26"/>
      <c r="F8" s="26"/>
      <c r="G8" s="27"/>
      <c r="H8" s="28">
        <f t="shared" ref="H8:H53" si="1">SUM(B8:G8)</f>
        <v>35479.138619920668</v>
      </c>
    </row>
    <row r="9" spans="1:8" x14ac:dyDescent="0.25">
      <c r="A9" s="15" t="s">
        <v>6</v>
      </c>
      <c r="B9" s="29">
        <f>SUM(B10:B14)</f>
        <v>34614.335809892822</v>
      </c>
      <c r="C9" s="29">
        <f>SUM(C10:C14)</f>
        <v>389.68617743273848</v>
      </c>
      <c r="D9" s="29">
        <f>SUM(D10:D14)</f>
        <v>244.00604849486118</v>
      </c>
      <c r="E9" s="30"/>
      <c r="F9" s="30"/>
      <c r="G9" s="30"/>
      <c r="H9" s="31">
        <f t="shared" si="1"/>
        <v>35248.028035820425</v>
      </c>
    </row>
    <row r="10" spans="1:8" x14ac:dyDescent="0.25">
      <c r="A10" s="32" t="s">
        <v>7</v>
      </c>
      <c r="B10" s="33">
        <v>7073.2398175150474</v>
      </c>
      <c r="C10" s="33">
        <v>26.300964281847566</v>
      </c>
      <c r="D10" s="33">
        <v>68.70285821693551</v>
      </c>
      <c r="E10" s="30"/>
      <c r="F10" s="30"/>
      <c r="G10" s="30"/>
      <c r="H10" s="34">
        <f t="shared" si="1"/>
        <v>7168.2436400138304</v>
      </c>
    </row>
    <row r="11" spans="1:8" x14ac:dyDescent="0.25">
      <c r="A11" s="32" t="s">
        <v>8</v>
      </c>
      <c r="B11" s="33">
        <v>7068.1146843951128</v>
      </c>
      <c r="C11" s="33">
        <v>159.3314348628146</v>
      </c>
      <c r="D11" s="33">
        <v>25.054837494099186</v>
      </c>
      <c r="E11" s="30"/>
      <c r="F11" s="30"/>
      <c r="G11" s="30"/>
      <c r="H11" s="34">
        <f t="shared" si="1"/>
        <v>7252.5009567520265</v>
      </c>
    </row>
    <row r="12" spans="1:8" x14ac:dyDescent="0.25">
      <c r="A12" s="32" t="s">
        <v>9</v>
      </c>
      <c r="B12" s="33">
        <v>14326.767929982665</v>
      </c>
      <c r="C12" s="35">
        <v>31.74017660407625</v>
      </c>
      <c r="D12" s="33">
        <v>120.66570238882646</v>
      </c>
      <c r="E12" s="30"/>
      <c r="F12" s="30"/>
      <c r="G12" s="30"/>
      <c r="H12" s="34">
        <f t="shared" si="1"/>
        <v>14479.173808975567</v>
      </c>
    </row>
    <row r="13" spans="1:8" x14ac:dyDescent="0.25">
      <c r="A13" s="32" t="s">
        <v>10</v>
      </c>
      <c r="B13" s="33">
        <v>6082.1724869999998</v>
      </c>
      <c r="C13" s="33">
        <v>172.27786794400001</v>
      </c>
      <c r="D13" s="33">
        <v>29.104823329999999</v>
      </c>
      <c r="E13" s="30"/>
      <c r="F13" s="30"/>
      <c r="G13" s="30"/>
      <c r="H13" s="34">
        <f t="shared" si="1"/>
        <v>6283.5551782739994</v>
      </c>
    </row>
    <row r="14" spans="1:8" x14ac:dyDescent="0.25">
      <c r="A14" s="32" t="s">
        <v>11</v>
      </c>
      <c r="B14" s="33">
        <v>64.040891000000002</v>
      </c>
      <c r="C14" s="33">
        <v>3.5733740000000007E-2</v>
      </c>
      <c r="D14" s="33">
        <v>0.477827065</v>
      </c>
      <c r="E14" s="30"/>
      <c r="F14" s="30"/>
      <c r="G14" s="30"/>
      <c r="H14" s="34">
        <f t="shared" si="1"/>
        <v>64.554451804999999</v>
      </c>
    </row>
    <row r="15" spans="1:8" x14ac:dyDescent="0.25">
      <c r="A15" s="15" t="s">
        <v>12</v>
      </c>
      <c r="B15" s="33">
        <f>SUM(B16:B17)</f>
        <v>146.8757462625961</v>
      </c>
      <c r="C15" s="33">
        <f>SUM(C16:C17)</f>
        <v>84.207379325775904</v>
      </c>
      <c r="D15" s="33">
        <f>SUM(D16:D17)</f>
        <v>2.7458511877373703E-2</v>
      </c>
      <c r="E15" s="30"/>
      <c r="F15" s="30"/>
      <c r="G15" s="30"/>
      <c r="H15" s="34">
        <f t="shared" si="1"/>
        <v>231.11058410024938</v>
      </c>
    </row>
    <row r="16" spans="1:8" x14ac:dyDescent="0.25">
      <c r="A16" s="32" t="s">
        <v>13</v>
      </c>
      <c r="B16" s="33"/>
      <c r="C16" s="33"/>
      <c r="D16" s="33"/>
      <c r="E16" s="30"/>
      <c r="F16" s="30"/>
      <c r="G16" s="30"/>
      <c r="H16" s="34">
        <f t="shared" si="1"/>
        <v>0</v>
      </c>
    </row>
    <row r="17" spans="1:8" ht="13" thickBot="1" x14ac:dyDescent="0.3">
      <c r="A17" s="36" t="s">
        <v>14</v>
      </c>
      <c r="B17" s="37">
        <v>146.8757462625961</v>
      </c>
      <c r="C17" s="37">
        <v>84.207379325775904</v>
      </c>
      <c r="D17" s="37">
        <v>2.7458511877373703E-2</v>
      </c>
      <c r="E17" s="38"/>
      <c r="F17" s="38"/>
      <c r="G17" s="38"/>
      <c r="H17" s="39">
        <f t="shared" si="1"/>
        <v>231.11058410024938</v>
      </c>
    </row>
    <row r="18" spans="1:8" x14ac:dyDescent="0.25">
      <c r="A18" s="14" t="s">
        <v>15</v>
      </c>
      <c r="B18" s="40">
        <f t="shared" ref="B18:G18" si="2">SUM(B19:B26)</f>
        <v>4813.0233119332088</v>
      </c>
      <c r="C18" s="40">
        <f t="shared" si="2"/>
        <v>92.021813800000004</v>
      </c>
      <c r="D18" s="40">
        <f t="shared" si="2"/>
        <v>125.24357071999999</v>
      </c>
      <c r="E18" s="40">
        <f t="shared" si="2"/>
        <v>2358.5159529415628</v>
      </c>
      <c r="F18" s="40">
        <f t="shared" si="2"/>
        <v>0.11425162269999999</v>
      </c>
      <c r="G18" s="41">
        <f t="shared" si="2"/>
        <v>42.9083527015</v>
      </c>
      <c r="H18" s="28">
        <f t="shared" si="1"/>
        <v>7431.8272537189714</v>
      </c>
    </row>
    <row r="19" spans="1:8" x14ac:dyDescent="0.25">
      <c r="A19" s="15" t="s">
        <v>16</v>
      </c>
      <c r="B19" s="29">
        <v>2788.8635802715003</v>
      </c>
      <c r="C19" s="29"/>
      <c r="D19" s="29"/>
      <c r="E19" s="42"/>
      <c r="F19" s="42"/>
      <c r="G19" s="42"/>
      <c r="H19" s="31">
        <f t="shared" si="1"/>
        <v>2788.8635802715003</v>
      </c>
    </row>
    <row r="20" spans="1:8" x14ac:dyDescent="0.25">
      <c r="A20" s="15" t="s">
        <v>17</v>
      </c>
      <c r="B20" s="33">
        <v>1894.1235473415882</v>
      </c>
      <c r="C20" s="33">
        <v>92.021813800000004</v>
      </c>
      <c r="D20" s="33">
        <v>23.261382000000001</v>
      </c>
      <c r="E20" s="33"/>
      <c r="F20" s="33"/>
      <c r="G20" s="33"/>
      <c r="H20" s="34">
        <f t="shared" si="1"/>
        <v>2009.4067431415881</v>
      </c>
    </row>
    <row r="21" spans="1:8" x14ac:dyDescent="0.25">
      <c r="A21" s="15" t="s">
        <v>18</v>
      </c>
      <c r="B21" s="33">
        <v>72.99225332012</v>
      </c>
      <c r="C21" s="33"/>
      <c r="D21" s="33"/>
      <c r="E21" s="30"/>
      <c r="F21" s="33"/>
      <c r="G21" s="43"/>
      <c r="H21" s="34">
        <f t="shared" si="1"/>
        <v>72.99225332012</v>
      </c>
    </row>
    <row r="22" spans="1:8" x14ac:dyDescent="0.25">
      <c r="A22" s="15" t="s">
        <v>32</v>
      </c>
      <c r="B22" s="33">
        <v>57.043931000000001</v>
      </c>
      <c r="C22" s="33"/>
      <c r="D22" s="33"/>
      <c r="E22" s="30"/>
      <c r="F22" s="30"/>
      <c r="G22" s="30"/>
      <c r="H22" s="34">
        <f t="shared" si="1"/>
        <v>57.043931000000001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2358.5159529415628</v>
      </c>
      <c r="F24" s="33">
        <v>0.11425162269999999</v>
      </c>
      <c r="G24" s="33"/>
      <c r="H24" s="34">
        <f t="shared" si="1"/>
        <v>2358.6302045642628</v>
      </c>
    </row>
    <row r="25" spans="1:8" x14ac:dyDescent="0.25">
      <c r="A25" s="15" t="s">
        <v>34</v>
      </c>
      <c r="B25" s="33"/>
      <c r="C25" s="33"/>
      <c r="D25" s="33">
        <v>101.98218872</v>
      </c>
      <c r="E25" s="33"/>
      <c r="F25" s="33"/>
      <c r="G25" s="33">
        <v>42.9083527015</v>
      </c>
      <c r="H25" s="34">
        <f t="shared" si="1"/>
        <v>144.89054142149999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13.849297</v>
      </c>
      <c r="C27" s="40">
        <f>SUM(C28:C36)</f>
        <v>2945.2831351440004</v>
      </c>
      <c r="D27" s="40">
        <f>SUM(D28:D36)</f>
        <v>751.03571427500003</v>
      </c>
      <c r="E27" s="45"/>
      <c r="F27" s="45"/>
      <c r="G27" s="46"/>
      <c r="H27" s="28">
        <f t="shared" si="1"/>
        <v>3710.1681464190005</v>
      </c>
    </row>
    <row r="28" spans="1:8" x14ac:dyDescent="0.25">
      <c r="A28" s="15" t="s">
        <v>19</v>
      </c>
      <c r="B28" s="42"/>
      <c r="C28" s="29">
        <v>1071.732628596</v>
      </c>
      <c r="D28" s="47"/>
      <c r="E28" s="30"/>
      <c r="F28" s="30"/>
      <c r="G28" s="30"/>
      <c r="H28" s="31">
        <f t="shared" si="1"/>
        <v>1071.732628596</v>
      </c>
    </row>
    <row r="29" spans="1:8" x14ac:dyDescent="0.25">
      <c r="A29" s="15" t="s">
        <v>20</v>
      </c>
      <c r="B29" s="30"/>
      <c r="C29" s="33">
        <v>1754.1470180920001</v>
      </c>
      <c r="D29" s="33">
        <v>330.49263079499997</v>
      </c>
      <c r="E29" s="30"/>
      <c r="F29" s="30"/>
      <c r="G29" s="30"/>
      <c r="H29" s="34">
        <f t="shared" si="1"/>
        <v>2084.639648887</v>
      </c>
    </row>
    <row r="30" spans="1:8" x14ac:dyDescent="0.25">
      <c r="A30" s="15" t="s">
        <v>21</v>
      </c>
      <c r="B30" s="30"/>
      <c r="C30" s="33">
        <v>119.03290473199999</v>
      </c>
      <c r="D30" s="48"/>
      <c r="E30" s="30"/>
      <c r="F30" s="30"/>
      <c r="G30" s="30"/>
      <c r="H30" s="34">
        <f t="shared" si="1"/>
        <v>119.03290473199999</v>
      </c>
    </row>
    <row r="31" spans="1:8" x14ac:dyDescent="0.25">
      <c r="A31" s="15" t="s">
        <v>22</v>
      </c>
      <c r="B31" s="49"/>
      <c r="C31" s="33"/>
      <c r="D31" s="33">
        <v>420.45215296999999</v>
      </c>
      <c r="E31" s="30"/>
      <c r="F31" s="30"/>
      <c r="G31" s="30"/>
      <c r="H31" s="34">
        <f t="shared" si="1"/>
        <v>420.45215296999999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0.370583724</v>
      </c>
      <c r="D33" s="33">
        <v>9.0930509999999992E-2</v>
      </c>
      <c r="E33" s="30"/>
      <c r="F33" s="30"/>
      <c r="G33" s="30"/>
      <c r="H33" s="34">
        <f t="shared" si="1"/>
        <v>0.46151423400000002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12.071555</v>
      </c>
      <c r="C35" s="50"/>
      <c r="D35" s="50"/>
      <c r="E35" s="51"/>
      <c r="F35" s="51"/>
      <c r="G35" s="51"/>
      <c r="H35" s="52">
        <f t="shared" si="1"/>
        <v>12.071555</v>
      </c>
    </row>
    <row r="36" spans="1:8" ht="13" thickBot="1" x14ac:dyDescent="0.3">
      <c r="A36" s="16" t="s">
        <v>48</v>
      </c>
      <c r="B36" s="37">
        <v>1.7777419999999999</v>
      </c>
      <c r="C36" s="37"/>
      <c r="D36" s="37"/>
      <c r="E36" s="38"/>
      <c r="F36" s="38"/>
      <c r="G36" s="38"/>
      <c r="H36" s="39">
        <f t="shared" si="1"/>
        <v>1.7777419999999999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3165.1222423975</v>
      </c>
      <c r="D47" s="40">
        <f>SUM(D48:D52)</f>
        <v>214.27644990499999</v>
      </c>
      <c r="E47" s="45"/>
      <c r="F47" s="45"/>
      <c r="G47" s="46"/>
      <c r="H47" s="53">
        <f t="shared" si="1"/>
        <v>3379.3986923025</v>
      </c>
    </row>
    <row r="48" spans="1:8" x14ac:dyDescent="0.25">
      <c r="A48" s="15" t="s">
        <v>24</v>
      </c>
      <c r="B48" s="29"/>
      <c r="C48" s="29">
        <v>2589.875344308</v>
      </c>
      <c r="D48" s="29"/>
      <c r="E48" s="30"/>
      <c r="F48" s="30"/>
      <c r="G48" s="30"/>
      <c r="H48" s="31">
        <f t="shared" si="1"/>
        <v>2589.875344308</v>
      </c>
    </row>
    <row r="49" spans="1:8" x14ac:dyDescent="0.25">
      <c r="A49" s="15" t="s">
        <v>43</v>
      </c>
      <c r="B49" s="29"/>
      <c r="C49" s="29">
        <v>69.762728111999991</v>
      </c>
      <c r="D49" s="29">
        <v>38.056704855</v>
      </c>
      <c r="E49" s="30"/>
      <c r="F49" s="30"/>
      <c r="G49" s="30"/>
      <c r="H49" s="31">
        <f t="shared" si="1"/>
        <v>107.81943296699998</v>
      </c>
    </row>
    <row r="50" spans="1:8" x14ac:dyDescent="0.25">
      <c r="A50" s="15" t="s">
        <v>25</v>
      </c>
      <c r="B50" s="33"/>
      <c r="C50" s="33">
        <v>12.228285356000001</v>
      </c>
      <c r="D50" s="33">
        <v>20.280290999999998</v>
      </c>
      <c r="E50" s="30"/>
      <c r="F50" s="30"/>
      <c r="G50" s="30"/>
      <c r="H50" s="34">
        <f t="shared" si="1"/>
        <v>32.508576355999999</v>
      </c>
    </row>
    <row r="51" spans="1:8" x14ac:dyDescent="0.25">
      <c r="A51" s="15" t="s">
        <v>42</v>
      </c>
      <c r="B51" s="30"/>
      <c r="C51" s="33">
        <v>491.92928902949996</v>
      </c>
      <c r="D51" s="33">
        <v>155.93945404999999</v>
      </c>
      <c r="E51" s="30"/>
      <c r="F51" s="30"/>
      <c r="G51" s="30"/>
      <c r="H51" s="34">
        <f t="shared" si="1"/>
        <v>647.86874307949995</v>
      </c>
    </row>
    <row r="52" spans="1:8" ht="13" thickBot="1" x14ac:dyDescent="0.3">
      <c r="A52" s="15" t="s">
        <v>44</v>
      </c>
      <c r="B52" s="33"/>
      <c r="C52" s="33">
        <v>1.3265955919999999</v>
      </c>
      <c r="D52" s="33"/>
      <c r="E52" s="30"/>
      <c r="F52" s="30"/>
      <c r="G52" s="30"/>
      <c r="H52" s="34">
        <f t="shared" si="1"/>
        <v>1.3265955919999999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1:H53"/>
  <sheetViews>
    <sheetView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68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43374.221687730082</v>
      </c>
      <c r="C7" s="203">
        <f t="shared" ref="C7:G7" si="0">SUM(C8,C18,C27,C37,C47,C53)</f>
        <v>6237.5653927928279</v>
      </c>
      <c r="D7" s="203">
        <f t="shared" si="0"/>
        <v>1302.8346834971699</v>
      </c>
      <c r="E7" s="203">
        <f t="shared" si="0"/>
        <v>2566.4658568182713</v>
      </c>
      <c r="F7" s="203">
        <f t="shared" si="0"/>
        <v>0.12953270759999999</v>
      </c>
      <c r="G7" s="203">
        <f t="shared" si="0"/>
        <v>45.594336737000006</v>
      </c>
      <c r="H7" s="204">
        <f>SUM(B7:G7)</f>
        <v>53526.811490282947</v>
      </c>
    </row>
    <row r="8" spans="1:8" ht="13" thickTop="1" x14ac:dyDescent="0.25">
      <c r="A8" s="14" t="s">
        <v>5</v>
      </c>
      <c r="B8" s="25">
        <f>SUM(B9,B15)</f>
        <v>37901.235694889729</v>
      </c>
      <c r="C8" s="25">
        <f>SUM(C9,C15)</f>
        <v>498.99654521482813</v>
      </c>
      <c r="D8" s="25">
        <f>SUM(D9,D15)</f>
        <v>264.88833806716985</v>
      </c>
      <c r="E8" s="26"/>
      <c r="F8" s="26"/>
      <c r="G8" s="27"/>
      <c r="H8" s="28">
        <f t="shared" ref="H8:H53" si="1">SUM(B8:G8)</f>
        <v>38665.120578171729</v>
      </c>
    </row>
    <row r="9" spans="1:8" x14ac:dyDescent="0.25">
      <c r="A9" s="15" t="s">
        <v>6</v>
      </c>
      <c r="B9" s="29">
        <f>SUM(B10:B14)</f>
        <v>37791.48053560112</v>
      </c>
      <c r="C9" s="29">
        <f>SUM(C10:C14)</f>
        <v>399.21998515805643</v>
      </c>
      <c r="D9" s="29">
        <f>SUM(D10:D14)</f>
        <v>264.85442954314817</v>
      </c>
      <c r="E9" s="30"/>
      <c r="F9" s="30"/>
      <c r="G9" s="30"/>
      <c r="H9" s="31">
        <f t="shared" si="1"/>
        <v>38455.554950302329</v>
      </c>
    </row>
    <row r="10" spans="1:8" x14ac:dyDescent="0.25">
      <c r="A10" s="32" t="s">
        <v>7</v>
      </c>
      <c r="B10" s="33">
        <v>8064.1360623905875</v>
      </c>
      <c r="C10" s="33">
        <v>32.379561605653407</v>
      </c>
      <c r="D10" s="33">
        <v>77.842710400139836</v>
      </c>
      <c r="E10" s="30"/>
      <c r="F10" s="30"/>
      <c r="G10" s="30"/>
      <c r="H10" s="34">
        <f t="shared" si="1"/>
        <v>8174.358334396381</v>
      </c>
    </row>
    <row r="11" spans="1:8" x14ac:dyDescent="0.25">
      <c r="A11" s="32" t="s">
        <v>8</v>
      </c>
      <c r="B11" s="33">
        <v>8475.7597189051612</v>
      </c>
      <c r="C11" s="33">
        <v>186.58539493131508</v>
      </c>
      <c r="D11" s="33">
        <v>30.431853456991803</v>
      </c>
      <c r="E11" s="30"/>
      <c r="F11" s="30"/>
      <c r="G11" s="30"/>
      <c r="H11" s="34">
        <f t="shared" si="1"/>
        <v>8692.7769672934683</v>
      </c>
    </row>
    <row r="12" spans="1:8" x14ac:dyDescent="0.25">
      <c r="A12" s="32" t="s">
        <v>9</v>
      </c>
      <c r="B12" s="33">
        <v>15227.496348305367</v>
      </c>
      <c r="C12" s="35">
        <v>35.256352337087883</v>
      </c>
      <c r="D12" s="33">
        <v>130.19062932601656</v>
      </c>
      <c r="E12" s="30"/>
      <c r="F12" s="30"/>
      <c r="G12" s="30"/>
      <c r="H12" s="34">
        <f t="shared" si="1"/>
        <v>15392.943329968472</v>
      </c>
    </row>
    <row r="13" spans="1:8" x14ac:dyDescent="0.25">
      <c r="A13" s="32" t="s">
        <v>10</v>
      </c>
      <c r="B13" s="33">
        <v>5949.2671149999996</v>
      </c>
      <c r="C13" s="33">
        <v>144.95281900400002</v>
      </c>
      <c r="D13" s="33">
        <v>25.835986850000001</v>
      </c>
      <c r="E13" s="30"/>
      <c r="F13" s="30"/>
      <c r="G13" s="30"/>
      <c r="H13" s="34">
        <f t="shared" si="1"/>
        <v>6120.0559208539999</v>
      </c>
    </row>
    <row r="14" spans="1:8" x14ac:dyDescent="0.25">
      <c r="A14" s="32" t="s">
        <v>11</v>
      </c>
      <c r="B14" s="33">
        <v>74.821291000000002</v>
      </c>
      <c r="C14" s="33">
        <v>4.585728E-2</v>
      </c>
      <c r="D14" s="33">
        <v>0.55324950999999989</v>
      </c>
      <c r="E14" s="30"/>
      <c r="F14" s="30"/>
      <c r="G14" s="30"/>
      <c r="H14" s="34">
        <f t="shared" si="1"/>
        <v>75.42039779000001</v>
      </c>
    </row>
    <row r="15" spans="1:8" x14ac:dyDescent="0.25">
      <c r="A15" s="15" t="s">
        <v>12</v>
      </c>
      <c r="B15" s="33">
        <f>SUM(B16:B17)</f>
        <v>109.75515928860936</v>
      </c>
      <c r="C15" s="33">
        <f>SUM(C16:C17)</f>
        <v>99.776560056771686</v>
      </c>
      <c r="D15" s="33">
        <f>SUM(D16:D17)</f>
        <v>3.3908524021662785E-2</v>
      </c>
      <c r="E15" s="30"/>
      <c r="F15" s="30"/>
      <c r="G15" s="30"/>
      <c r="H15" s="34">
        <f t="shared" si="1"/>
        <v>209.5656278694027</v>
      </c>
    </row>
    <row r="16" spans="1:8" x14ac:dyDescent="0.25">
      <c r="A16" s="32" t="s">
        <v>13</v>
      </c>
      <c r="B16" s="33"/>
      <c r="C16" s="33"/>
      <c r="D16" s="33"/>
      <c r="E16" s="30"/>
      <c r="F16" s="30"/>
      <c r="G16" s="30"/>
      <c r="H16" s="34">
        <f t="shared" si="1"/>
        <v>0</v>
      </c>
    </row>
    <row r="17" spans="1:8" ht="13" thickBot="1" x14ac:dyDescent="0.3">
      <c r="A17" s="36" t="s">
        <v>14</v>
      </c>
      <c r="B17" s="37">
        <v>109.75515928860936</v>
      </c>
      <c r="C17" s="37">
        <v>99.776560056771686</v>
      </c>
      <c r="D17" s="37">
        <v>3.3908524021662785E-2</v>
      </c>
      <c r="E17" s="38"/>
      <c r="F17" s="38"/>
      <c r="G17" s="38"/>
      <c r="H17" s="39">
        <f t="shared" si="1"/>
        <v>209.5656278694027</v>
      </c>
    </row>
    <row r="18" spans="1:8" x14ac:dyDescent="0.25">
      <c r="A18" s="14" t="s">
        <v>15</v>
      </c>
      <c r="B18" s="40">
        <f t="shared" ref="B18:G18" si="2">SUM(B19:B26)</f>
        <v>5465.0513438403486</v>
      </c>
      <c r="C18" s="40">
        <f t="shared" si="2"/>
        <v>82.400616479999968</v>
      </c>
      <c r="D18" s="40">
        <f t="shared" si="2"/>
        <v>132.887466835</v>
      </c>
      <c r="E18" s="40">
        <f t="shared" si="2"/>
        <v>2566.4658568182713</v>
      </c>
      <c r="F18" s="40">
        <f t="shared" si="2"/>
        <v>0.12953270759999999</v>
      </c>
      <c r="G18" s="41">
        <f t="shared" si="2"/>
        <v>45.594336737000006</v>
      </c>
      <c r="H18" s="28">
        <f t="shared" si="1"/>
        <v>8292.5291534182197</v>
      </c>
    </row>
    <row r="19" spans="1:8" x14ac:dyDescent="0.25">
      <c r="A19" s="15" t="s">
        <v>16</v>
      </c>
      <c r="B19" s="29">
        <v>3499.7432373418696</v>
      </c>
      <c r="C19" s="29"/>
      <c r="D19" s="29"/>
      <c r="E19" s="42"/>
      <c r="F19" s="42"/>
      <c r="G19" s="42"/>
      <c r="H19" s="31">
        <f t="shared" si="1"/>
        <v>3499.7432373418696</v>
      </c>
    </row>
    <row r="20" spans="1:8" x14ac:dyDescent="0.25">
      <c r="A20" s="15" t="s">
        <v>17</v>
      </c>
      <c r="B20" s="33">
        <v>1817.7453342695994</v>
      </c>
      <c r="C20" s="33">
        <v>82.400616479999968</v>
      </c>
      <c r="D20" s="33">
        <v>27.295000000000002</v>
      </c>
      <c r="E20" s="33">
        <v>4.8910000066999997</v>
      </c>
      <c r="F20" s="33"/>
      <c r="G20" s="33"/>
      <c r="H20" s="34">
        <f t="shared" si="1"/>
        <v>1932.3319507562996</v>
      </c>
    </row>
    <row r="21" spans="1:8" x14ac:dyDescent="0.25">
      <c r="A21" s="15" t="s">
        <v>18</v>
      </c>
      <c r="B21" s="33">
        <v>84.357586228878887</v>
      </c>
      <c r="C21" s="33"/>
      <c r="D21" s="33"/>
      <c r="E21" s="30"/>
      <c r="F21" s="33"/>
      <c r="G21" s="43"/>
      <c r="H21" s="34">
        <f t="shared" si="1"/>
        <v>84.357586228878887</v>
      </c>
    </row>
    <row r="22" spans="1:8" x14ac:dyDescent="0.25">
      <c r="A22" s="15" t="s">
        <v>32</v>
      </c>
      <c r="B22" s="33">
        <v>63.205185999999998</v>
      </c>
      <c r="C22" s="33"/>
      <c r="D22" s="33"/>
      <c r="E22" s="30"/>
      <c r="F22" s="30"/>
      <c r="G22" s="30"/>
      <c r="H22" s="34">
        <f t="shared" si="1"/>
        <v>63.205185999999998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2561.5748568115714</v>
      </c>
      <c r="F24" s="33">
        <v>0.12953270759999999</v>
      </c>
      <c r="G24" s="33"/>
      <c r="H24" s="34">
        <f t="shared" si="1"/>
        <v>2561.7043895191714</v>
      </c>
    </row>
    <row r="25" spans="1:8" x14ac:dyDescent="0.25">
      <c r="A25" s="15" t="s">
        <v>34</v>
      </c>
      <c r="B25" s="33"/>
      <c r="C25" s="33"/>
      <c r="D25" s="33">
        <v>105.59246683500001</v>
      </c>
      <c r="E25" s="33"/>
      <c r="F25" s="33"/>
      <c r="G25" s="33">
        <v>45.594336737000006</v>
      </c>
      <c r="H25" s="34">
        <f t="shared" si="1"/>
        <v>151.18680357200003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7.9346490000000003</v>
      </c>
      <c r="C27" s="40">
        <f>SUM(C28:C36)</f>
        <v>2936.4539343439997</v>
      </c>
      <c r="D27" s="40">
        <f>SUM(D28:D36)</f>
        <v>736.52387305000013</v>
      </c>
      <c r="E27" s="45"/>
      <c r="F27" s="45"/>
      <c r="G27" s="46"/>
      <c r="H27" s="28">
        <f t="shared" si="1"/>
        <v>3680.9124563939995</v>
      </c>
    </row>
    <row r="28" spans="1:8" x14ac:dyDescent="0.25">
      <c r="A28" s="15" t="s">
        <v>19</v>
      </c>
      <c r="B28" s="42"/>
      <c r="C28" s="29">
        <v>1071.9487239160001</v>
      </c>
      <c r="D28" s="47"/>
      <c r="E28" s="30"/>
      <c r="F28" s="30"/>
      <c r="G28" s="30"/>
      <c r="H28" s="31">
        <f t="shared" si="1"/>
        <v>1071.9487239160001</v>
      </c>
    </row>
    <row r="29" spans="1:8" x14ac:dyDescent="0.25">
      <c r="A29" s="15" t="s">
        <v>20</v>
      </c>
      <c r="B29" s="30"/>
      <c r="C29" s="33">
        <v>1745.8908454120001</v>
      </c>
      <c r="D29" s="33">
        <v>333.449936455</v>
      </c>
      <c r="E29" s="30"/>
      <c r="F29" s="30"/>
      <c r="G29" s="30"/>
      <c r="H29" s="34">
        <f t="shared" si="1"/>
        <v>2079.3407818670003</v>
      </c>
    </row>
    <row r="30" spans="1:8" x14ac:dyDescent="0.25">
      <c r="A30" s="15" t="s">
        <v>21</v>
      </c>
      <c r="B30" s="30"/>
      <c r="C30" s="33">
        <v>118.33810606799999</v>
      </c>
      <c r="D30" s="48"/>
      <c r="E30" s="30"/>
      <c r="F30" s="30"/>
      <c r="G30" s="30"/>
      <c r="H30" s="34">
        <f t="shared" si="1"/>
        <v>118.33810606799999</v>
      </c>
    </row>
    <row r="31" spans="1:8" x14ac:dyDescent="0.25">
      <c r="A31" s="15" t="s">
        <v>22</v>
      </c>
      <c r="B31" s="49"/>
      <c r="C31" s="33"/>
      <c r="D31" s="33">
        <v>403.00615118500002</v>
      </c>
      <c r="E31" s="30"/>
      <c r="F31" s="30"/>
      <c r="G31" s="30"/>
      <c r="H31" s="34">
        <f t="shared" si="1"/>
        <v>403.00615118500002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0.276258948</v>
      </c>
      <c r="D33" s="33">
        <v>6.7785410000000004E-2</v>
      </c>
      <c r="E33" s="30"/>
      <c r="F33" s="30"/>
      <c r="G33" s="30"/>
      <c r="H33" s="34">
        <f t="shared" si="1"/>
        <v>0.34404435799999999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6.6104620000000001</v>
      </c>
      <c r="C35" s="50"/>
      <c r="D35" s="50"/>
      <c r="E35" s="51"/>
      <c r="F35" s="51"/>
      <c r="G35" s="51"/>
      <c r="H35" s="52">
        <f t="shared" si="1"/>
        <v>6.6104620000000001</v>
      </c>
    </row>
    <row r="36" spans="1:8" ht="13" thickBot="1" x14ac:dyDescent="0.3">
      <c r="A36" s="16" t="s">
        <v>48</v>
      </c>
      <c r="B36" s="37">
        <v>1.324187</v>
      </c>
      <c r="C36" s="37"/>
      <c r="D36" s="37"/>
      <c r="E36" s="38"/>
      <c r="F36" s="38"/>
      <c r="G36" s="38"/>
      <c r="H36" s="39">
        <f t="shared" si="1"/>
        <v>1.324187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2719.7142967540003</v>
      </c>
      <c r="D47" s="40">
        <f>SUM(D48:D52)</f>
        <v>168.53500554499999</v>
      </c>
      <c r="E47" s="45"/>
      <c r="F47" s="45"/>
      <c r="G47" s="46"/>
      <c r="H47" s="53">
        <f t="shared" si="1"/>
        <v>2888.2493022990002</v>
      </c>
    </row>
    <row r="48" spans="1:8" x14ac:dyDescent="0.25">
      <c r="A48" s="15" t="s">
        <v>24</v>
      </c>
      <c r="B48" s="29"/>
      <c r="C48" s="29">
        <v>2138.7198274679999</v>
      </c>
      <c r="D48" s="29"/>
      <c r="E48" s="30"/>
      <c r="F48" s="30"/>
      <c r="G48" s="30"/>
      <c r="H48" s="31">
        <f t="shared" si="1"/>
        <v>2138.7198274679999</v>
      </c>
    </row>
    <row r="49" spans="1:8" x14ac:dyDescent="0.25">
      <c r="A49" s="15" t="s">
        <v>43</v>
      </c>
      <c r="B49" s="29"/>
      <c r="C49" s="29">
        <v>30.718995216000003</v>
      </c>
      <c r="D49" s="29">
        <v>16.394567644999999</v>
      </c>
      <c r="E49" s="30"/>
      <c r="F49" s="30"/>
      <c r="G49" s="30"/>
      <c r="H49" s="31">
        <f t="shared" si="1"/>
        <v>47.113562861000005</v>
      </c>
    </row>
    <row r="50" spans="1:8" x14ac:dyDescent="0.25">
      <c r="A50" s="15" t="s">
        <v>25</v>
      </c>
      <c r="B50" s="33"/>
      <c r="C50" s="33">
        <v>13.208439692000001</v>
      </c>
      <c r="D50" s="33">
        <v>28.512868449999999</v>
      </c>
      <c r="E50" s="30"/>
      <c r="F50" s="30"/>
      <c r="G50" s="30"/>
      <c r="H50" s="34">
        <f t="shared" si="1"/>
        <v>41.721308141999998</v>
      </c>
    </row>
    <row r="51" spans="1:8" x14ac:dyDescent="0.25">
      <c r="A51" s="15" t="s">
        <v>42</v>
      </c>
      <c r="B51" s="30"/>
      <c r="C51" s="33">
        <v>531.41684832600004</v>
      </c>
      <c r="D51" s="33">
        <v>123.62756945</v>
      </c>
      <c r="E51" s="30"/>
      <c r="F51" s="30"/>
      <c r="G51" s="30"/>
      <c r="H51" s="34">
        <f t="shared" si="1"/>
        <v>655.04441777600005</v>
      </c>
    </row>
    <row r="52" spans="1:8" ht="13" thickBot="1" x14ac:dyDescent="0.3">
      <c r="A52" s="15" t="s">
        <v>44</v>
      </c>
      <c r="B52" s="33"/>
      <c r="C52" s="33">
        <v>5.6501860520000005</v>
      </c>
      <c r="D52" s="33"/>
      <c r="E52" s="30"/>
      <c r="F52" s="30"/>
      <c r="G52" s="30"/>
      <c r="H52" s="34">
        <f t="shared" si="1"/>
        <v>5.6501860520000005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A1:H53"/>
  <sheetViews>
    <sheetView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67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46379.210525641276</v>
      </c>
      <c r="C7" s="203">
        <f t="shared" ref="C7:G7" si="0">SUM(C8,C18,C27,C37,C47,C53)</f>
        <v>6455.8982192650174</v>
      </c>
      <c r="D7" s="203">
        <f t="shared" si="0"/>
        <v>1403.6474963017472</v>
      </c>
      <c r="E7" s="203">
        <f t="shared" si="0"/>
        <v>2826.0292857236409</v>
      </c>
      <c r="F7" s="203">
        <f t="shared" si="0"/>
        <v>0.1176015457</v>
      </c>
      <c r="G7" s="203">
        <f t="shared" si="0"/>
        <v>45.331436526499992</v>
      </c>
      <c r="H7" s="204">
        <f>SUM(B7:G7)</f>
        <v>57110.234565003884</v>
      </c>
    </row>
    <row r="8" spans="1:8" ht="13" thickTop="1" x14ac:dyDescent="0.25">
      <c r="A8" s="14" t="s">
        <v>5</v>
      </c>
      <c r="B8" s="25">
        <f>SUM(B9,B15)</f>
        <v>39643.108092100629</v>
      </c>
      <c r="C8" s="25">
        <f>SUM(C9,C15)</f>
        <v>505.1537790142674</v>
      </c>
      <c r="D8" s="25">
        <f>SUM(D9,D15)</f>
        <v>272.03314582174744</v>
      </c>
      <c r="E8" s="26"/>
      <c r="F8" s="26"/>
      <c r="G8" s="27"/>
      <c r="H8" s="28">
        <f t="shared" ref="H8:H53" si="1">SUM(B8:G8)</f>
        <v>40420.295016936645</v>
      </c>
    </row>
    <row r="9" spans="1:8" x14ac:dyDescent="0.25">
      <c r="A9" s="15" t="s">
        <v>6</v>
      </c>
      <c r="B9" s="29">
        <f>SUM(B10:B14)</f>
        <v>39570.492667469312</v>
      </c>
      <c r="C9" s="29">
        <f>SUM(C10:C14)</f>
        <v>394.60620825978094</v>
      </c>
      <c r="D9" s="29">
        <f>SUM(D10:D14)</f>
        <v>271.9987068325421</v>
      </c>
      <c r="E9" s="30"/>
      <c r="F9" s="30"/>
      <c r="G9" s="30"/>
      <c r="H9" s="31">
        <f t="shared" si="1"/>
        <v>40237.097582561633</v>
      </c>
    </row>
    <row r="10" spans="1:8" x14ac:dyDescent="0.25">
      <c r="A10" s="32" t="s">
        <v>7</v>
      </c>
      <c r="B10" s="33">
        <v>8239.9919727272463</v>
      </c>
      <c r="C10" s="33">
        <v>33.210372993484825</v>
      </c>
      <c r="D10" s="33">
        <v>76.211709295858242</v>
      </c>
      <c r="E10" s="30"/>
      <c r="F10" s="30"/>
      <c r="G10" s="30"/>
      <c r="H10" s="34">
        <f t="shared" si="1"/>
        <v>8349.4140550165885</v>
      </c>
    </row>
    <row r="11" spans="1:8" x14ac:dyDescent="0.25">
      <c r="A11" s="32" t="s">
        <v>8</v>
      </c>
      <c r="B11" s="33">
        <v>8934.9269153222813</v>
      </c>
      <c r="C11" s="33">
        <v>188.08157048710501</v>
      </c>
      <c r="D11" s="33">
        <v>31.977215501677932</v>
      </c>
      <c r="E11" s="30"/>
      <c r="F11" s="30"/>
      <c r="G11" s="30"/>
      <c r="H11" s="34">
        <f t="shared" si="1"/>
        <v>9154.985701311065</v>
      </c>
    </row>
    <row r="12" spans="1:8" x14ac:dyDescent="0.25">
      <c r="A12" s="32" t="s">
        <v>9</v>
      </c>
      <c r="B12" s="33">
        <v>16403.41181841978</v>
      </c>
      <c r="C12" s="35">
        <v>39.65026843919113</v>
      </c>
      <c r="D12" s="33">
        <v>137.36507985000594</v>
      </c>
      <c r="E12" s="30"/>
      <c r="F12" s="30"/>
      <c r="G12" s="30"/>
      <c r="H12" s="34">
        <f t="shared" si="1"/>
        <v>16580.427166708978</v>
      </c>
    </row>
    <row r="13" spans="1:8" x14ac:dyDescent="0.25">
      <c r="A13" s="32" t="s">
        <v>10</v>
      </c>
      <c r="B13" s="33">
        <v>5918.9378770000003</v>
      </c>
      <c r="C13" s="33">
        <v>133.62211267999999</v>
      </c>
      <c r="D13" s="33">
        <v>25.904715925000001</v>
      </c>
      <c r="E13" s="30"/>
      <c r="F13" s="30"/>
      <c r="G13" s="30"/>
      <c r="H13" s="34">
        <f t="shared" si="1"/>
        <v>6078.4647056050007</v>
      </c>
    </row>
    <row r="14" spans="1:8" x14ac:dyDescent="0.25">
      <c r="A14" s="32" t="s">
        <v>11</v>
      </c>
      <c r="B14" s="33">
        <v>73.224084000000005</v>
      </c>
      <c r="C14" s="33">
        <v>4.1883659999999996E-2</v>
      </c>
      <c r="D14" s="33">
        <v>0.53998626000000005</v>
      </c>
      <c r="E14" s="30"/>
      <c r="F14" s="30"/>
      <c r="G14" s="30"/>
      <c r="H14" s="34">
        <f t="shared" si="1"/>
        <v>73.805953920000007</v>
      </c>
    </row>
    <row r="15" spans="1:8" x14ac:dyDescent="0.25">
      <c r="A15" s="15" t="s">
        <v>12</v>
      </c>
      <c r="B15" s="33">
        <f>SUM(B16:B17)</f>
        <v>72.615424631315364</v>
      </c>
      <c r="C15" s="33">
        <f>SUM(C16:C17)</f>
        <v>110.54757075448646</v>
      </c>
      <c r="D15" s="33">
        <f>SUM(D16:D17)</f>
        <v>3.443898920536223E-2</v>
      </c>
      <c r="E15" s="30"/>
      <c r="F15" s="30"/>
      <c r="G15" s="30"/>
      <c r="H15" s="34">
        <f t="shared" si="1"/>
        <v>183.19743437500719</v>
      </c>
    </row>
    <row r="16" spans="1:8" x14ac:dyDescent="0.25">
      <c r="A16" s="32" t="s">
        <v>13</v>
      </c>
      <c r="B16" s="33"/>
      <c r="C16" s="33">
        <v>18.109309400000001</v>
      </c>
      <c r="D16" s="33"/>
      <c r="E16" s="30"/>
      <c r="F16" s="30"/>
      <c r="G16" s="30"/>
      <c r="H16" s="34">
        <f t="shared" si="1"/>
        <v>18.109309400000001</v>
      </c>
    </row>
    <row r="17" spans="1:8" ht="13" thickBot="1" x14ac:dyDescent="0.3">
      <c r="A17" s="36" t="s">
        <v>14</v>
      </c>
      <c r="B17" s="37">
        <v>72.615424631315364</v>
      </c>
      <c r="C17" s="37">
        <v>92.438261354486457</v>
      </c>
      <c r="D17" s="37">
        <v>3.443898920536223E-2</v>
      </c>
      <c r="E17" s="38"/>
      <c r="F17" s="38"/>
      <c r="G17" s="38"/>
      <c r="H17" s="39">
        <f t="shared" si="1"/>
        <v>165.08812497500719</v>
      </c>
    </row>
    <row r="18" spans="1:8" x14ac:dyDescent="0.25">
      <c r="A18" s="14" t="s">
        <v>15</v>
      </c>
      <c r="B18" s="40">
        <f t="shared" ref="B18:G18" si="2">SUM(B19:B26)</f>
        <v>6724.7447405406483</v>
      </c>
      <c r="C18" s="40">
        <f t="shared" si="2"/>
        <v>109.42311744</v>
      </c>
      <c r="D18" s="40">
        <f t="shared" si="2"/>
        <v>134.56067153499998</v>
      </c>
      <c r="E18" s="40">
        <f t="shared" si="2"/>
        <v>2826.0292857236409</v>
      </c>
      <c r="F18" s="40">
        <f t="shared" si="2"/>
        <v>0.1176015457</v>
      </c>
      <c r="G18" s="41">
        <f t="shared" si="2"/>
        <v>45.331436526499992</v>
      </c>
      <c r="H18" s="28">
        <f t="shared" si="1"/>
        <v>9840.2068533114889</v>
      </c>
    </row>
    <row r="19" spans="1:8" x14ac:dyDescent="0.25">
      <c r="A19" s="15" t="s">
        <v>16</v>
      </c>
      <c r="B19" s="29">
        <v>4268.8038906731044</v>
      </c>
      <c r="C19" s="29"/>
      <c r="D19" s="29"/>
      <c r="E19" s="42"/>
      <c r="F19" s="42"/>
      <c r="G19" s="42"/>
      <c r="H19" s="31">
        <f t="shared" si="1"/>
        <v>4268.8038906731044</v>
      </c>
    </row>
    <row r="20" spans="1:8" x14ac:dyDescent="0.25">
      <c r="A20" s="15" t="s">
        <v>17</v>
      </c>
      <c r="B20" s="33">
        <v>2315.7364528930993</v>
      </c>
      <c r="C20" s="33">
        <v>109.42311744</v>
      </c>
      <c r="D20" s="33">
        <v>28.366236000000001</v>
      </c>
      <c r="E20" s="33">
        <v>411.43780367265003</v>
      </c>
      <c r="F20" s="33"/>
      <c r="G20" s="33"/>
      <c r="H20" s="34">
        <f t="shared" si="1"/>
        <v>2864.9636100057496</v>
      </c>
    </row>
    <row r="21" spans="1:8" x14ac:dyDescent="0.25">
      <c r="A21" s="15" t="s">
        <v>18</v>
      </c>
      <c r="B21" s="33">
        <v>83.126334974445328</v>
      </c>
      <c r="C21" s="33"/>
      <c r="D21" s="33"/>
      <c r="E21" s="30"/>
      <c r="F21" s="33"/>
      <c r="G21" s="43"/>
      <c r="H21" s="34">
        <f t="shared" si="1"/>
        <v>83.126334974445328</v>
      </c>
    </row>
    <row r="22" spans="1:8" x14ac:dyDescent="0.25">
      <c r="A22" s="15" t="s">
        <v>32</v>
      </c>
      <c r="B22" s="33">
        <v>57.078061999999996</v>
      </c>
      <c r="C22" s="33"/>
      <c r="D22" s="33"/>
      <c r="E22" s="30"/>
      <c r="F22" s="30"/>
      <c r="G22" s="30"/>
      <c r="H22" s="34">
        <f t="shared" si="1"/>
        <v>57.078061999999996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2414.5914820509911</v>
      </c>
      <c r="F24" s="33">
        <v>0.1176015457</v>
      </c>
      <c r="G24" s="33"/>
      <c r="H24" s="34">
        <f t="shared" si="1"/>
        <v>2414.709083596691</v>
      </c>
    </row>
    <row r="25" spans="1:8" x14ac:dyDescent="0.25">
      <c r="A25" s="15" t="s">
        <v>34</v>
      </c>
      <c r="B25" s="33"/>
      <c r="C25" s="33"/>
      <c r="D25" s="33">
        <v>106.194435535</v>
      </c>
      <c r="E25" s="33"/>
      <c r="F25" s="33"/>
      <c r="G25" s="33">
        <v>45.331436526499992</v>
      </c>
      <c r="H25" s="34">
        <f t="shared" si="1"/>
        <v>151.5258720615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11.357692999999999</v>
      </c>
      <c r="C27" s="40">
        <f>SUM(C28:C36)</f>
        <v>3058.3348758480001</v>
      </c>
      <c r="D27" s="40">
        <f>SUM(D28:D36)</f>
        <v>827.22457425499999</v>
      </c>
      <c r="E27" s="45"/>
      <c r="F27" s="45"/>
      <c r="G27" s="46"/>
      <c r="H27" s="28">
        <f t="shared" si="1"/>
        <v>3896.9171431029999</v>
      </c>
    </row>
    <row r="28" spans="1:8" x14ac:dyDescent="0.25">
      <c r="A28" s="15" t="s">
        <v>19</v>
      </c>
      <c r="B28" s="42"/>
      <c r="C28" s="29">
        <v>1178.211936916</v>
      </c>
      <c r="D28" s="47"/>
      <c r="E28" s="30"/>
      <c r="F28" s="30"/>
      <c r="G28" s="30"/>
      <c r="H28" s="31">
        <f t="shared" si="1"/>
        <v>1178.211936916</v>
      </c>
    </row>
    <row r="29" spans="1:8" x14ac:dyDescent="0.25">
      <c r="A29" s="15" t="s">
        <v>20</v>
      </c>
      <c r="B29" s="30"/>
      <c r="C29" s="33">
        <v>1760.030526968</v>
      </c>
      <c r="D29" s="33">
        <v>369.80106845</v>
      </c>
      <c r="E29" s="30"/>
      <c r="F29" s="30"/>
      <c r="G29" s="30"/>
      <c r="H29" s="34">
        <f t="shared" si="1"/>
        <v>2129.8315954179998</v>
      </c>
    </row>
    <row r="30" spans="1:8" x14ac:dyDescent="0.25">
      <c r="A30" s="15" t="s">
        <v>21</v>
      </c>
      <c r="B30" s="30"/>
      <c r="C30" s="33">
        <v>119.80552080000001</v>
      </c>
      <c r="D30" s="48"/>
      <c r="E30" s="30"/>
      <c r="F30" s="30"/>
      <c r="G30" s="30"/>
      <c r="H30" s="34">
        <f t="shared" si="1"/>
        <v>119.80552080000001</v>
      </c>
    </row>
    <row r="31" spans="1:8" x14ac:dyDescent="0.25">
      <c r="A31" s="15" t="s">
        <v>22</v>
      </c>
      <c r="B31" s="49"/>
      <c r="C31" s="33"/>
      <c r="D31" s="33">
        <v>457.353111205</v>
      </c>
      <c r="E31" s="30"/>
      <c r="F31" s="30"/>
      <c r="G31" s="30"/>
      <c r="H31" s="34">
        <f t="shared" si="1"/>
        <v>457.353111205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0.28689116400000003</v>
      </c>
      <c r="D33" s="33">
        <v>7.0394600000000002E-2</v>
      </c>
      <c r="E33" s="30"/>
      <c r="F33" s="30"/>
      <c r="G33" s="30"/>
      <c r="H33" s="34">
        <f t="shared" si="1"/>
        <v>0.35728576400000001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9.6027509999999996</v>
      </c>
      <c r="C35" s="50"/>
      <c r="D35" s="50"/>
      <c r="E35" s="51"/>
      <c r="F35" s="51"/>
      <c r="G35" s="51"/>
      <c r="H35" s="52">
        <f t="shared" si="1"/>
        <v>9.6027509999999996</v>
      </c>
    </row>
    <row r="36" spans="1:8" ht="13" thickBot="1" x14ac:dyDescent="0.3">
      <c r="A36" s="16" t="s">
        <v>48</v>
      </c>
      <c r="B36" s="37">
        <v>1.7549419999999998</v>
      </c>
      <c r="C36" s="37"/>
      <c r="D36" s="37"/>
      <c r="E36" s="38"/>
      <c r="F36" s="38"/>
      <c r="G36" s="38"/>
      <c r="H36" s="39">
        <f t="shared" si="1"/>
        <v>1.7549419999999998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2782.9864469627501</v>
      </c>
      <c r="D47" s="40">
        <f>SUM(D48:D52)</f>
        <v>169.82910469000001</v>
      </c>
      <c r="E47" s="45"/>
      <c r="F47" s="45"/>
      <c r="G47" s="46"/>
      <c r="H47" s="53">
        <f t="shared" si="1"/>
        <v>2952.8155516527499</v>
      </c>
    </row>
    <row r="48" spans="1:8" x14ac:dyDescent="0.25">
      <c r="A48" s="15" t="s">
        <v>24</v>
      </c>
      <c r="B48" s="29"/>
      <c r="C48" s="29">
        <v>2163.6160185919998</v>
      </c>
      <c r="D48" s="29"/>
      <c r="E48" s="30"/>
      <c r="F48" s="30"/>
      <c r="G48" s="30"/>
      <c r="H48" s="31">
        <f t="shared" si="1"/>
        <v>2163.6160185919998</v>
      </c>
    </row>
    <row r="49" spans="1:8" x14ac:dyDescent="0.25">
      <c r="A49" s="15" t="s">
        <v>43</v>
      </c>
      <c r="B49" s="29"/>
      <c r="C49" s="29">
        <v>18.982289171999998</v>
      </c>
      <c r="D49" s="29">
        <v>10.294745174999999</v>
      </c>
      <c r="E49" s="30"/>
      <c r="F49" s="30"/>
      <c r="G49" s="30"/>
      <c r="H49" s="31">
        <f t="shared" si="1"/>
        <v>29.277034346999997</v>
      </c>
    </row>
    <row r="50" spans="1:8" x14ac:dyDescent="0.25">
      <c r="A50" s="15" t="s">
        <v>25</v>
      </c>
      <c r="B50" s="33"/>
      <c r="C50" s="33">
        <v>11.044449584000001</v>
      </c>
      <c r="D50" s="33">
        <v>27.298877215000001</v>
      </c>
      <c r="E50" s="30"/>
      <c r="F50" s="30"/>
      <c r="G50" s="30"/>
      <c r="H50" s="34">
        <f t="shared" si="1"/>
        <v>38.343326799000003</v>
      </c>
    </row>
    <row r="51" spans="1:8" x14ac:dyDescent="0.25">
      <c r="A51" s="15" t="s">
        <v>42</v>
      </c>
      <c r="B51" s="30"/>
      <c r="C51" s="33">
        <v>583.69350356274992</v>
      </c>
      <c r="D51" s="33">
        <v>132.2354823</v>
      </c>
      <c r="E51" s="30"/>
      <c r="F51" s="30"/>
      <c r="G51" s="30"/>
      <c r="H51" s="34">
        <f t="shared" si="1"/>
        <v>715.92898586274987</v>
      </c>
    </row>
    <row r="52" spans="1:8" ht="13" thickBot="1" x14ac:dyDescent="0.3">
      <c r="A52" s="15" t="s">
        <v>44</v>
      </c>
      <c r="B52" s="33"/>
      <c r="C52" s="33">
        <v>5.6501860519999996</v>
      </c>
      <c r="D52" s="33"/>
      <c r="E52" s="30"/>
      <c r="F52" s="30"/>
      <c r="G52" s="30"/>
      <c r="H52" s="34">
        <f t="shared" si="1"/>
        <v>5.6501860519999996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H53"/>
  <sheetViews>
    <sheetView topLeftCell="A22"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66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45947.513771438949</v>
      </c>
      <c r="C7" s="203">
        <f t="shared" ref="C7:G7" si="0">SUM(C8,C18,C27,C37,C47,C53)</f>
        <v>6230.7493651959976</v>
      </c>
      <c r="D7" s="203">
        <f t="shared" si="0"/>
        <v>1376.4241247208165</v>
      </c>
      <c r="E7" s="203">
        <f t="shared" si="0"/>
        <v>2435.6740111435879</v>
      </c>
      <c r="F7" s="203">
        <f t="shared" si="0"/>
        <v>9.2164109700000024E-2</v>
      </c>
      <c r="G7" s="203">
        <f t="shared" si="0"/>
        <v>44.478117756999993</v>
      </c>
      <c r="H7" s="204">
        <f>SUM(B7:G7)</f>
        <v>56034.931554366049</v>
      </c>
    </row>
    <row r="8" spans="1:8" ht="13" thickTop="1" x14ac:dyDescent="0.25">
      <c r="A8" s="14" t="s">
        <v>5</v>
      </c>
      <c r="B8" s="25">
        <f>SUM(B9,B15)</f>
        <v>39342.492796114166</v>
      </c>
      <c r="C8" s="25">
        <f>SUM(C9,C15)</f>
        <v>504.46553717074829</v>
      </c>
      <c r="D8" s="25">
        <f>SUM(D9,D15)</f>
        <v>255.68839285581657</v>
      </c>
      <c r="E8" s="26"/>
      <c r="F8" s="26"/>
      <c r="G8" s="27"/>
      <c r="H8" s="28">
        <f t="shared" ref="H8:H53" si="1">SUM(B8:G8)</f>
        <v>40102.646726140731</v>
      </c>
    </row>
    <row r="9" spans="1:8" x14ac:dyDescent="0.25">
      <c r="A9" s="15" t="s">
        <v>6</v>
      </c>
      <c r="B9" s="29">
        <f>SUM(B10:B14)</f>
        <v>39277.718814335312</v>
      </c>
      <c r="C9" s="29">
        <f>SUM(C10:C14)</f>
        <v>393.10971970593022</v>
      </c>
      <c r="D9" s="29">
        <f>SUM(D10:D14)</f>
        <v>255.65976136387982</v>
      </c>
      <c r="E9" s="30"/>
      <c r="F9" s="30"/>
      <c r="G9" s="30"/>
      <c r="H9" s="31">
        <f t="shared" si="1"/>
        <v>39926.488295405121</v>
      </c>
    </row>
    <row r="10" spans="1:8" x14ac:dyDescent="0.25">
      <c r="A10" s="32" t="s">
        <v>7</v>
      </c>
      <c r="B10" s="33">
        <v>8154.5674854665131</v>
      </c>
      <c r="C10" s="33">
        <v>36.087888219956319</v>
      </c>
      <c r="D10" s="33">
        <v>68.010223817787931</v>
      </c>
      <c r="E10" s="30"/>
      <c r="F10" s="30"/>
      <c r="G10" s="30"/>
      <c r="H10" s="34">
        <f t="shared" si="1"/>
        <v>8258.6655975042577</v>
      </c>
    </row>
    <row r="11" spans="1:8" x14ac:dyDescent="0.25">
      <c r="A11" s="32" t="s">
        <v>8</v>
      </c>
      <c r="B11" s="33">
        <v>8779.5440019918278</v>
      </c>
      <c r="C11" s="33">
        <v>182.83275074436287</v>
      </c>
      <c r="D11" s="33">
        <v>30.039163567333997</v>
      </c>
      <c r="E11" s="30"/>
      <c r="F11" s="30"/>
      <c r="G11" s="30"/>
      <c r="H11" s="34">
        <f t="shared" si="1"/>
        <v>8992.4159163035238</v>
      </c>
    </row>
    <row r="12" spans="1:8" x14ac:dyDescent="0.25">
      <c r="A12" s="32" t="s">
        <v>9</v>
      </c>
      <c r="B12" s="33">
        <v>15898.669842876971</v>
      </c>
      <c r="C12" s="35">
        <v>42.021825353611007</v>
      </c>
      <c r="D12" s="33">
        <v>131.11591645375788</v>
      </c>
      <c r="E12" s="30"/>
      <c r="F12" s="30"/>
      <c r="G12" s="30"/>
      <c r="H12" s="34">
        <f t="shared" si="1"/>
        <v>16071.80758468434</v>
      </c>
    </row>
    <row r="13" spans="1:8" x14ac:dyDescent="0.25">
      <c r="A13" s="32" t="s">
        <v>10</v>
      </c>
      <c r="B13" s="33">
        <v>6373.4232179999999</v>
      </c>
      <c r="C13" s="33">
        <v>132.12008647600001</v>
      </c>
      <c r="D13" s="33">
        <v>25.969028244999997</v>
      </c>
      <c r="E13" s="30"/>
      <c r="F13" s="30"/>
      <c r="G13" s="30"/>
      <c r="H13" s="34">
        <f t="shared" si="1"/>
        <v>6531.5123327210003</v>
      </c>
    </row>
    <row r="14" spans="1:8" x14ac:dyDescent="0.25">
      <c r="A14" s="32" t="s">
        <v>11</v>
      </c>
      <c r="B14" s="33">
        <v>71.514266000000006</v>
      </c>
      <c r="C14" s="33">
        <v>4.7168912E-2</v>
      </c>
      <c r="D14" s="33">
        <v>0.52542928</v>
      </c>
      <c r="E14" s="30"/>
      <c r="F14" s="30"/>
      <c r="G14" s="30"/>
      <c r="H14" s="34">
        <f t="shared" si="1"/>
        <v>72.086864192000007</v>
      </c>
    </row>
    <row r="15" spans="1:8" x14ac:dyDescent="0.25">
      <c r="A15" s="15" t="s">
        <v>12</v>
      </c>
      <c r="B15" s="33">
        <f>SUM(B16:B17)</f>
        <v>64.773981778849929</v>
      </c>
      <c r="C15" s="33">
        <f>SUM(C16:C17)</f>
        <v>111.35581746481806</v>
      </c>
      <c r="D15" s="33">
        <f>SUM(D16:D17)</f>
        <v>2.8631491936756199E-2</v>
      </c>
      <c r="E15" s="30"/>
      <c r="F15" s="30"/>
      <c r="G15" s="30"/>
      <c r="H15" s="34">
        <f t="shared" si="1"/>
        <v>176.15843073560475</v>
      </c>
    </row>
    <row r="16" spans="1:8" x14ac:dyDescent="0.25">
      <c r="A16" s="32" t="s">
        <v>13</v>
      </c>
      <c r="B16" s="33"/>
      <c r="C16" s="33">
        <v>27.207618620000002</v>
      </c>
      <c r="D16" s="33"/>
      <c r="E16" s="30"/>
      <c r="F16" s="30"/>
      <c r="G16" s="30"/>
      <c r="H16" s="34">
        <f t="shared" si="1"/>
        <v>27.207618620000002</v>
      </c>
    </row>
    <row r="17" spans="1:8" ht="13" thickBot="1" x14ac:dyDescent="0.3">
      <c r="A17" s="36" t="s">
        <v>14</v>
      </c>
      <c r="B17" s="37">
        <v>64.773981778849929</v>
      </c>
      <c r="C17" s="37">
        <v>84.148198844818054</v>
      </c>
      <c r="D17" s="37">
        <v>2.8631491936756199E-2</v>
      </c>
      <c r="E17" s="38"/>
      <c r="F17" s="38"/>
      <c r="G17" s="38"/>
      <c r="H17" s="39">
        <f t="shared" si="1"/>
        <v>148.95081211560475</v>
      </c>
    </row>
    <row r="18" spans="1:8" x14ac:dyDescent="0.25">
      <c r="A18" s="14" t="s">
        <v>15</v>
      </c>
      <c r="B18" s="40">
        <f t="shared" ref="B18:G18" si="2">SUM(B19:B26)</f>
        <v>6591.7031003247848</v>
      </c>
      <c r="C18" s="40">
        <f t="shared" si="2"/>
        <v>99.921670240000083</v>
      </c>
      <c r="D18" s="40">
        <f t="shared" si="2"/>
        <v>141.68985682499999</v>
      </c>
      <c r="E18" s="40">
        <f t="shared" si="2"/>
        <v>2435.6740111435879</v>
      </c>
      <c r="F18" s="40">
        <f t="shared" si="2"/>
        <v>9.2164109700000024E-2</v>
      </c>
      <c r="G18" s="41">
        <f t="shared" si="2"/>
        <v>44.478117756999993</v>
      </c>
      <c r="H18" s="28">
        <f t="shared" si="1"/>
        <v>9313.5589204000717</v>
      </c>
    </row>
    <row r="19" spans="1:8" x14ac:dyDescent="0.25">
      <c r="A19" s="15" t="s">
        <v>16</v>
      </c>
      <c r="B19" s="29">
        <v>4395.8183890738237</v>
      </c>
      <c r="C19" s="29"/>
      <c r="D19" s="29"/>
      <c r="E19" s="42"/>
      <c r="F19" s="42"/>
      <c r="G19" s="42"/>
      <c r="H19" s="31">
        <f t="shared" si="1"/>
        <v>4395.8183890738237</v>
      </c>
    </row>
    <row r="20" spans="1:8" x14ac:dyDescent="0.25">
      <c r="A20" s="15" t="s">
        <v>17</v>
      </c>
      <c r="B20" s="33">
        <v>2059.2100963534567</v>
      </c>
      <c r="C20" s="33">
        <v>99.921670240000083</v>
      </c>
      <c r="D20" s="33">
        <v>27.715608</v>
      </c>
      <c r="E20" s="33">
        <v>357.92851243870001</v>
      </c>
      <c r="F20" s="33"/>
      <c r="G20" s="33"/>
      <c r="H20" s="34">
        <f t="shared" si="1"/>
        <v>2544.7758870321568</v>
      </c>
    </row>
    <row r="21" spans="1:8" x14ac:dyDescent="0.25">
      <c r="A21" s="15" t="s">
        <v>18</v>
      </c>
      <c r="B21" s="33">
        <v>78.05051289750422</v>
      </c>
      <c r="C21" s="33"/>
      <c r="D21" s="33"/>
      <c r="E21" s="30"/>
      <c r="F21" s="33"/>
      <c r="G21" s="43"/>
      <c r="H21" s="34">
        <f t="shared" si="1"/>
        <v>78.05051289750422</v>
      </c>
    </row>
    <row r="22" spans="1:8" x14ac:dyDescent="0.25">
      <c r="A22" s="15" t="s">
        <v>32</v>
      </c>
      <c r="B22" s="33">
        <v>58.624102000000008</v>
      </c>
      <c r="C22" s="33"/>
      <c r="D22" s="33"/>
      <c r="E22" s="30"/>
      <c r="F22" s="30"/>
      <c r="G22" s="30"/>
      <c r="H22" s="34">
        <f t="shared" si="1"/>
        <v>58.624102000000008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2077.7454987048877</v>
      </c>
      <c r="F24" s="33">
        <v>9.2164109700000024E-2</v>
      </c>
      <c r="G24" s="33"/>
      <c r="H24" s="34">
        <f t="shared" si="1"/>
        <v>2077.8376628145879</v>
      </c>
    </row>
    <row r="25" spans="1:8" x14ac:dyDescent="0.25">
      <c r="A25" s="15" t="s">
        <v>34</v>
      </c>
      <c r="B25" s="33"/>
      <c r="C25" s="33"/>
      <c r="D25" s="33">
        <v>113.974248825</v>
      </c>
      <c r="E25" s="33"/>
      <c r="F25" s="33"/>
      <c r="G25" s="33">
        <v>44.478117756999993</v>
      </c>
      <c r="H25" s="34">
        <f t="shared" si="1"/>
        <v>158.452366582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13.317874999999999</v>
      </c>
      <c r="C27" s="40">
        <f>SUM(C28:C36)</f>
        <v>2950.6390788559997</v>
      </c>
      <c r="D27" s="40">
        <f>SUM(D28:D36)</f>
        <v>812.77713067999991</v>
      </c>
      <c r="E27" s="45"/>
      <c r="F27" s="45"/>
      <c r="G27" s="46"/>
      <c r="H27" s="28">
        <f t="shared" si="1"/>
        <v>3776.734084536</v>
      </c>
    </row>
    <row r="28" spans="1:8" x14ac:dyDescent="0.25">
      <c r="A28" s="15" t="s">
        <v>19</v>
      </c>
      <c r="B28" s="42"/>
      <c r="C28" s="29">
        <v>1183.395068716</v>
      </c>
      <c r="D28" s="47"/>
      <c r="E28" s="30"/>
      <c r="F28" s="30"/>
      <c r="G28" s="30"/>
      <c r="H28" s="31">
        <f t="shared" si="1"/>
        <v>1183.395068716</v>
      </c>
    </row>
    <row r="29" spans="1:8" x14ac:dyDescent="0.25">
      <c r="A29" s="15" t="s">
        <v>20</v>
      </c>
      <c r="B29" s="30"/>
      <c r="C29" s="33">
        <v>1647.0637623719999</v>
      </c>
      <c r="D29" s="33">
        <v>357.83671276999996</v>
      </c>
      <c r="E29" s="30"/>
      <c r="F29" s="30"/>
      <c r="G29" s="30"/>
      <c r="H29" s="34">
        <f t="shared" si="1"/>
        <v>2004.9004751419998</v>
      </c>
    </row>
    <row r="30" spans="1:8" x14ac:dyDescent="0.25">
      <c r="A30" s="15" t="s">
        <v>21</v>
      </c>
      <c r="B30" s="30"/>
      <c r="C30" s="33">
        <v>119.94448054400002</v>
      </c>
      <c r="D30" s="48"/>
      <c r="E30" s="30"/>
      <c r="F30" s="30"/>
      <c r="G30" s="30"/>
      <c r="H30" s="34">
        <f t="shared" si="1"/>
        <v>119.94448054400002</v>
      </c>
    </row>
    <row r="31" spans="1:8" x14ac:dyDescent="0.25">
      <c r="A31" s="15" t="s">
        <v>22</v>
      </c>
      <c r="B31" s="49"/>
      <c r="C31" s="33"/>
      <c r="D31" s="33">
        <v>454.88256761499997</v>
      </c>
      <c r="E31" s="30"/>
      <c r="F31" s="30"/>
      <c r="G31" s="30"/>
      <c r="H31" s="34">
        <f t="shared" si="1"/>
        <v>454.88256761499997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0.235767224</v>
      </c>
      <c r="D33" s="33">
        <v>5.7850294999999996E-2</v>
      </c>
      <c r="E33" s="30"/>
      <c r="F33" s="30"/>
      <c r="G33" s="30"/>
      <c r="H33" s="34">
        <f t="shared" si="1"/>
        <v>0.29361751899999999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11.018274999999999</v>
      </c>
      <c r="C35" s="50"/>
      <c r="D35" s="50"/>
      <c r="E35" s="51"/>
      <c r="F35" s="51"/>
      <c r="G35" s="51"/>
      <c r="H35" s="52">
        <f t="shared" si="1"/>
        <v>11.018274999999999</v>
      </c>
    </row>
    <row r="36" spans="1:8" ht="13" thickBot="1" x14ac:dyDescent="0.3">
      <c r="A36" s="16" t="s">
        <v>48</v>
      </c>
      <c r="B36" s="37">
        <v>2.2995999999999999</v>
      </c>
      <c r="C36" s="37"/>
      <c r="D36" s="37"/>
      <c r="E36" s="38"/>
      <c r="F36" s="38"/>
      <c r="G36" s="38"/>
      <c r="H36" s="39">
        <f t="shared" si="1"/>
        <v>2.2995999999999999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2675.7230789292498</v>
      </c>
      <c r="D47" s="40">
        <f>SUM(D48:D52)</f>
        <v>166.26874436</v>
      </c>
      <c r="E47" s="45"/>
      <c r="F47" s="45"/>
      <c r="G47" s="46"/>
      <c r="H47" s="53">
        <f t="shared" si="1"/>
        <v>2841.9918232892496</v>
      </c>
    </row>
    <row r="48" spans="1:8" x14ac:dyDescent="0.25">
      <c r="A48" s="15" t="s">
        <v>24</v>
      </c>
      <c r="B48" s="29"/>
      <c r="C48" s="29">
        <v>2099.8403765919998</v>
      </c>
      <c r="D48" s="29"/>
      <c r="E48" s="30"/>
      <c r="F48" s="30"/>
      <c r="G48" s="30"/>
      <c r="H48" s="31">
        <f t="shared" si="1"/>
        <v>2099.8403765919998</v>
      </c>
    </row>
    <row r="49" spans="1:8" x14ac:dyDescent="0.25">
      <c r="A49" s="15" t="s">
        <v>43</v>
      </c>
      <c r="B49" s="29"/>
      <c r="C49" s="29">
        <v>15.56206652</v>
      </c>
      <c r="D49" s="29">
        <v>8.5502456700000007</v>
      </c>
      <c r="E49" s="30"/>
      <c r="F49" s="30"/>
      <c r="G49" s="30"/>
      <c r="H49" s="31">
        <f t="shared" si="1"/>
        <v>24.112312190000001</v>
      </c>
    </row>
    <row r="50" spans="1:8" x14ac:dyDescent="0.25">
      <c r="A50" s="15" t="s">
        <v>25</v>
      </c>
      <c r="B50" s="33"/>
      <c r="C50" s="33">
        <v>11.529210308</v>
      </c>
      <c r="D50" s="33">
        <v>14.097543139999999</v>
      </c>
      <c r="E50" s="30"/>
      <c r="F50" s="30"/>
      <c r="G50" s="30"/>
      <c r="H50" s="34">
        <f t="shared" si="1"/>
        <v>25.626753447999999</v>
      </c>
    </row>
    <row r="51" spans="1:8" x14ac:dyDescent="0.25">
      <c r="A51" s="15" t="s">
        <v>42</v>
      </c>
      <c r="B51" s="30"/>
      <c r="C51" s="33">
        <v>542.93351694925002</v>
      </c>
      <c r="D51" s="33">
        <v>143.62095554999999</v>
      </c>
      <c r="E51" s="30"/>
      <c r="F51" s="30"/>
      <c r="G51" s="30"/>
      <c r="H51" s="34">
        <f t="shared" si="1"/>
        <v>686.55447249924998</v>
      </c>
    </row>
    <row r="52" spans="1:8" ht="13" thickBot="1" x14ac:dyDescent="0.3">
      <c r="A52" s="15" t="s">
        <v>44</v>
      </c>
      <c r="B52" s="33"/>
      <c r="C52" s="33">
        <v>5.8579085599999994</v>
      </c>
      <c r="D52" s="33"/>
      <c r="E52" s="30"/>
      <c r="F52" s="30"/>
      <c r="G52" s="30"/>
      <c r="H52" s="34">
        <f t="shared" si="1"/>
        <v>5.8579085599999994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1:H53"/>
  <sheetViews>
    <sheetView topLeftCell="A16" workbookViewId="0">
      <selection activeCell="B38" sqref="B38:D45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65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46948.603085432929</v>
      </c>
      <c r="C7" s="203">
        <f t="shared" ref="C7:G7" si="0">SUM(C8,C18,C27,C37,C47,C53)</f>
        <v>6419.3467754544472</v>
      </c>
      <c r="D7" s="203">
        <f t="shared" si="0"/>
        <v>1370.1138414074087</v>
      </c>
      <c r="E7" s="203">
        <f t="shared" si="0"/>
        <v>2087.9423821362484</v>
      </c>
      <c r="F7" s="203">
        <f t="shared" si="0"/>
        <v>6.5281717700000005E-2</v>
      </c>
      <c r="G7" s="203">
        <f t="shared" si="0"/>
        <v>40.985935765499995</v>
      </c>
      <c r="H7" s="204">
        <f>SUM(B7:G7)</f>
        <v>56867.057301914239</v>
      </c>
    </row>
    <row r="8" spans="1:8" ht="13" thickTop="1" x14ac:dyDescent="0.25">
      <c r="A8" s="14" t="s">
        <v>5</v>
      </c>
      <c r="B8" s="25">
        <f>SUM(B9,B15)</f>
        <v>40269.465543139901</v>
      </c>
      <c r="C8" s="25">
        <f>SUM(C9,C15)</f>
        <v>533.78414534994647</v>
      </c>
      <c r="D8" s="25">
        <f>SUM(D9,D15)</f>
        <v>257.67957692240873</v>
      </c>
      <c r="E8" s="26"/>
      <c r="F8" s="26"/>
      <c r="G8" s="27"/>
      <c r="H8" s="28">
        <f t="shared" ref="H8:H53" si="1">SUM(B8:G8)</f>
        <v>41060.929265412262</v>
      </c>
    </row>
    <row r="9" spans="1:8" x14ac:dyDescent="0.25">
      <c r="A9" s="15" t="s">
        <v>6</v>
      </c>
      <c r="B9" s="29">
        <f>SUM(B10:B14)</f>
        <v>40201.326308829899</v>
      </c>
      <c r="C9" s="29">
        <f>SUM(C10:C14)</f>
        <v>438.92946275334009</v>
      </c>
      <c r="D9" s="29">
        <f>SUM(D10:D14)</f>
        <v>257.64551953656462</v>
      </c>
      <c r="E9" s="30"/>
      <c r="F9" s="30"/>
      <c r="G9" s="30"/>
      <c r="H9" s="31">
        <f t="shared" si="1"/>
        <v>40897.901291119801</v>
      </c>
    </row>
    <row r="10" spans="1:8" x14ac:dyDescent="0.25">
      <c r="A10" s="32" t="s">
        <v>7</v>
      </c>
      <c r="B10" s="33">
        <v>8559.3085953327736</v>
      </c>
      <c r="C10" s="33">
        <v>6.9211605147104329</v>
      </c>
      <c r="D10" s="33">
        <v>72.954317218889756</v>
      </c>
      <c r="E10" s="30"/>
      <c r="F10" s="30"/>
      <c r="G10" s="30"/>
      <c r="H10" s="34">
        <f t="shared" si="1"/>
        <v>8639.1840730663735</v>
      </c>
    </row>
    <row r="11" spans="1:8" x14ac:dyDescent="0.25">
      <c r="A11" s="32" t="s">
        <v>8</v>
      </c>
      <c r="B11" s="33">
        <v>10990.343371323479</v>
      </c>
      <c r="C11" s="33">
        <v>263.29597876205759</v>
      </c>
      <c r="D11" s="33">
        <v>34.275547350601904</v>
      </c>
      <c r="E11" s="30"/>
      <c r="F11" s="30"/>
      <c r="G11" s="30"/>
      <c r="H11" s="34">
        <f t="shared" si="1"/>
        <v>11287.91489743614</v>
      </c>
    </row>
    <row r="12" spans="1:8" x14ac:dyDescent="0.25">
      <c r="A12" s="32" t="s">
        <v>9</v>
      </c>
      <c r="B12" s="33">
        <v>14983.50044717365</v>
      </c>
      <c r="C12" s="35">
        <v>43.143302892572059</v>
      </c>
      <c r="D12" s="33">
        <v>124.39021458207296</v>
      </c>
      <c r="E12" s="30"/>
      <c r="F12" s="30"/>
      <c r="G12" s="30"/>
      <c r="H12" s="34">
        <f t="shared" si="1"/>
        <v>15151.033964648293</v>
      </c>
    </row>
    <row r="13" spans="1:8" x14ac:dyDescent="0.25">
      <c r="A13" s="32" t="s">
        <v>10</v>
      </c>
      <c r="B13" s="33">
        <v>5597.673173000001</v>
      </c>
      <c r="C13" s="33">
        <v>125.51569413599999</v>
      </c>
      <c r="D13" s="33">
        <v>25.50944007</v>
      </c>
      <c r="E13" s="30"/>
      <c r="F13" s="30"/>
      <c r="G13" s="30"/>
      <c r="H13" s="34">
        <f t="shared" si="1"/>
        <v>5748.6983072060011</v>
      </c>
    </row>
    <row r="14" spans="1:8" x14ac:dyDescent="0.25">
      <c r="A14" s="32" t="s">
        <v>11</v>
      </c>
      <c r="B14" s="33">
        <v>70.50072200000001</v>
      </c>
      <c r="C14" s="33">
        <v>5.3326447999999999E-2</v>
      </c>
      <c r="D14" s="33">
        <v>0.51600031499999999</v>
      </c>
      <c r="E14" s="30"/>
      <c r="F14" s="30"/>
      <c r="G14" s="30"/>
      <c r="H14" s="34">
        <f t="shared" si="1"/>
        <v>71.070048763000017</v>
      </c>
    </row>
    <row r="15" spans="1:8" x14ac:dyDescent="0.25">
      <c r="A15" s="15" t="s">
        <v>12</v>
      </c>
      <c r="B15" s="33">
        <f>SUM(B16:B17)</f>
        <v>68.139234310000333</v>
      </c>
      <c r="C15" s="33">
        <f>SUM(C16:C17)</f>
        <v>94.854682596606409</v>
      </c>
      <c r="D15" s="33">
        <f>SUM(D16:D17)</f>
        <v>3.4057385844082202E-2</v>
      </c>
      <c r="E15" s="30"/>
      <c r="F15" s="30"/>
      <c r="G15" s="30"/>
      <c r="H15" s="34">
        <f t="shared" si="1"/>
        <v>163.02797429245081</v>
      </c>
    </row>
    <row r="16" spans="1:8" x14ac:dyDescent="0.25">
      <c r="A16" s="32" t="s">
        <v>13</v>
      </c>
      <c r="B16" s="33"/>
      <c r="C16" s="33">
        <v>26.600601300000001</v>
      </c>
      <c r="D16" s="33"/>
      <c r="E16" s="30"/>
      <c r="F16" s="30"/>
      <c r="G16" s="30"/>
      <c r="H16" s="34">
        <f t="shared" si="1"/>
        <v>26.600601300000001</v>
      </c>
    </row>
    <row r="17" spans="1:8" ht="13" thickBot="1" x14ac:dyDescent="0.3">
      <c r="A17" s="36" t="s">
        <v>14</v>
      </c>
      <c r="B17" s="37">
        <v>68.139234310000333</v>
      </c>
      <c r="C17" s="37">
        <v>68.254081296606415</v>
      </c>
      <c r="D17" s="37">
        <v>3.4057385844082202E-2</v>
      </c>
      <c r="E17" s="38"/>
      <c r="F17" s="38"/>
      <c r="G17" s="38"/>
      <c r="H17" s="39">
        <f t="shared" si="1"/>
        <v>136.42737299245081</v>
      </c>
    </row>
    <row r="18" spans="1:8" x14ac:dyDescent="0.25">
      <c r="A18" s="14" t="s">
        <v>15</v>
      </c>
      <c r="B18" s="40">
        <f t="shared" ref="B18:G18" si="2">SUM(B19:B26)</f>
        <v>6672.1353922930284</v>
      </c>
      <c r="C18" s="40">
        <f t="shared" si="2"/>
        <v>104.08619536000008</v>
      </c>
      <c r="D18" s="40">
        <f t="shared" si="2"/>
        <v>119.73561832999999</v>
      </c>
      <c r="E18" s="40">
        <f t="shared" si="2"/>
        <v>2087.9423821362484</v>
      </c>
      <c r="F18" s="40">
        <f t="shared" si="2"/>
        <v>6.5281717700000005E-2</v>
      </c>
      <c r="G18" s="41">
        <f t="shared" si="2"/>
        <v>40.985935765499995</v>
      </c>
      <c r="H18" s="28">
        <f t="shared" si="1"/>
        <v>9024.950805602477</v>
      </c>
    </row>
    <row r="19" spans="1:8" x14ac:dyDescent="0.25">
      <c r="A19" s="15" t="s">
        <v>16</v>
      </c>
      <c r="B19" s="29">
        <v>4466.7249270000002</v>
      </c>
      <c r="C19" s="29"/>
      <c r="D19" s="29"/>
      <c r="E19" s="42"/>
      <c r="F19" s="42"/>
      <c r="G19" s="42"/>
      <c r="H19" s="31">
        <f t="shared" si="1"/>
        <v>4466.7249270000002</v>
      </c>
    </row>
    <row r="20" spans="1:8" x14ac:dyDescent="0.25">
      <c r="A20" s="15" t="s">
        <v>17</v>
      </c>
      <c r="B20" s="33">
        <v>2073.9826823965223</v>
      </c>
      <c r="C20" s="33">
        <v>104.08619536000008</v>
      </c>
      <c r="D20" s="33">
        <v>29.699928</v>
      </c>
      <c r="E20" s="33">
        <v>366.41159411264999</v>
      </c>
      <c r="F20" s="33"/>
      <c r="G20" s="33"/>
      <c r="H20" s="34">
        <f t="shared" si="1"/>
        <v>2574.1803998691726</v>
      </c>
    </row>
    <row r="21" spans="1:8" x14ac:dyDescent="0.25">
      <c r="A21" s="15" t="s">
        <v>18</v>
      </c>
      <c r="B21" s="33">
        <v>71.0959098965062</v>
      </c>
      <c r="C21" s="33"/>
      <c r="D21" s="33"/>
      <c r="E21" s="30"/>
      <c r="F21" s="33"/>
      <c r="G21" s="43"/>
      <c r="H21" s="34">
        <f t="shared" si="1"/>
        <v>71.0959098965062</v>
      </c>
    </row>
    <row r="22" spans="1:8" x14ac:dyDescent="0.25">
      <c r="A22" s="15" t="s">
        <v>32</v>
      </c>
      <c r="B22" s="33">
        <v>60.331873000000009</v>
      </c>
      <c r="C22" s="33"/>
      <c r="D22" s="33"/>
      <c r="E22" s="30"/>
      <c r="F22" s="30"/>
      <c r="G22" s="30"/>
      <c r="H22" s="34">
        <f t="shared" si="1"/>
        <v>60.331873000000009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1721.5307880235982</v>
      </c>
      <c r="F24" s="33">
        <v>6.5281717700000005E-2</v>
      </c>
      <c r="G24" s="33"/>
      <c r="H24" s="34">
        <f t="shared" si="1"/>
        <v>1721.5960697412982</v>
      </c>
    </row>
    <row r="25" spans="1:8" x14ac:dyDescent="0.25">
      <c r="A25" s="15" t="s">
        <v>34</v>
      </c>
      <c r="B25" s="33"/>
      <c r="C25" s="33"/>
      <c r="D25" s="33">
        <v>90.035690329999994</v>
      </c>
      <c r="E25" s="33"/>
      <c r="F25" s="33"/>
      <c r="G25" s="33">
        <v>40.985935765499995</v>
      </c>
      <c r="H25" s="34">
        <f t="shared" si="1"/>
        <v>131.02162609549998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7.0021500000000003</v>
      </c>
      <c r="C27" s="40">
        <f>SUM(C28:C36)</f>
        <v>3237.6496107760004</v>
      </c>
      <c r="D27" s="40">
        <f>SUM(D28:D36)</f>
        <v>827.37671870500003</v>
      </c>
      <c r="E27" s="45"/>
      <c r="F27" s="45"/>
      <c r="G27" s="46"/>
      <c r="H27" s="28">
        <f t="shared" si="1"/>
        <v>4072.0284794810004</v>
      </c>
    </row>
    <row r="28" spans="1:8" x14ac:dyDescent="0.25">
      <c r="A28" s="15" t="s">
        <v>19</v>
      </c>
      <c r="B28" s="42"/>
      <c r="C28" s="29">
        <v>1302.739118576</v>
      </c>
      <c r="D28" s="47"/>
      <c r="E28" s="30"/>
      <c r="F28" s="30"/>
      <c r="G28" s="30"/>
      <c r="H28" s="31">
        <f t="shared" si="1"/>
        <v>1302.739118576</v>
      </c>
    </row>
    <row r="29" spans="1:8" x14ac:dyDescent="0.25">
      <c r="A29" s="15" t="s">
        <v>20</v>
      </c>
      <c r="B29" s="30"/>
      <c r="C29" s="33">
        <v>1814.638899864</v>
      </c>
      <c r="D29" s="33">
        <v>387.78692690999998</v>
      </c>
      <c r="E29" s="30"/>
      <c r="F29" s="30"/>
      <c r="G29" s="30"/>
      <c r="H29" s="34">
        <f t="shared" si="1"/>
        <v>2202.4258267740001</v>
      </c>
    </row>
    <row r="30" spans="1:8" x14ac:dyDescent="0.25">
      <c r="A30" s="15" t="s">
        <v>21</v>
      </c>
      <c r="B30" s="30"/>
      <c r="C30" s="33">
        <v>119.88889668</v>
      </c>
      <c r="D30" s="48"/>
      <c r="E30" s="30"/>
      <c r="F30" s="30"/>
      <c r="G30" s="30"/>
      <c r="H30" s="34">
        <f t="shared" si="1"/>
        <v>119.88889668</v>
      </c>
    </row>
    <row r="31" spans="1:8" x14ac:dyDescent="0.25">
      <c r="A31" s="15" t="s">
        <v>22</v>
      </c>
      <c r="B31" s="49"/>
      <c r="C31" s="33"/>
      <c r="D31" s="33">
        <v>439.49588957499998</v>
      </c>
      <c r="E31" s="30"/>
      <c r="F31" s="30"/>
      <c r="G31" s="30"/>
      <c r="H31" s="34">
        <f t="shared" si="1"/>
        <v>439.49588957499998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0.382695656</v>
      </c>
      <c r="D33" s="33">
        <v>9.3902220000000008E-2</v>
      </c>
      <c r="E33" s="30"/>
      <c r="F33" s="30"/>
      <c r="G33" s="30"/>
      <c r="H33" s="34">
        <f t="shared" si="1"/>
        <v>0.47659787600000003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5.5934840000000001</v>
      </c>
      <c r="C35" s="50"/>
      <c r="D35" s="50"/>
      <c r="E35" s="51"/>
      <c r="F35" s="51"/>
      <c r="G35" s="51"/>
      <c r="H35" s="52">
        <f t="shared" si="1"/>
        <v>5.5934840000000001</v>
      </c>
    </row>
    <row r="36" spans="1:8" ht="13" thickBot="1" x14ac:dyDescent="0.3">
      <c r="A36" s="16" t="s">
        <v>48</v>
      </c>
      <c r="B36" s="37">
        <v>1.408666</v>
      </c>
      <c r="C36" s="37"/>
      <c r="D36" s="37"/>
      <c r="E36" s="38"/>
      <c r="F36" s="38"/>
      <c r="G36" s="38"/>
      <c r="H36" s="39">
        <f t="shared" si="1"/>
        <v>1.408666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2543.8268239685003</v>
      </c>
      <c r="D47" s="40">
        <f>SUM(D48:D52)</f>
        <v>165.32192745</v>
      </c>
      <c r="E47" s="45"/>
      <c r="F47" s="45"/>
      <c r="G47" s="46"/>
      <c r="H47" s="53">
        <f t="shared" si="1"/>
        <v>2709.1487514185005</v>
      </c>
    </row>
    <row r="48" spans="1:8" x14ac:dyDescent="0.25">
      <c r="A48" s="15" t="s">
        <v>24</v>
      </c>
      <c r="B48" s="29"/>
      <c r="C48" s="29">
        <v>1990.5476213840002</v>
      </c>
      <c r="D48" s="29"/>
      <c r="E48" s="30"/>
      <c r="F48" s="30"/>
      <c r="G48" s="30"/>
      <c r="H48" s="31">
        <f t="shared" si="1"/>
        <v>1990.5476213840002</v>
      </c>
    </row>
    <row r="49" spans="1:8" x14ac:dyDescent="0.25">
      <c r="A49" s="15" t="s">
        <v>43</v>
      </c>
      <c r="B49" s="29"/>
      <c r="C49" s="29">
        <v>14.850002524000001</v>
      </c>
      <c r="D49" s="29">
        <v>7.7253973950000008</v>
      </c>
      <c r="E49" s="30"/>
      <c r="F49" s="30"/>
      <c r="G49" s="30"/>
      <c r="H49" s="31">
        <f t="shared" si="1"/>
        <v>22.575399919000002</v>
      </c>
    </row>
    <row r="50" spans="1:8" x14ac:dyDescent="0.25">
      <c r="A50" s="15" t="s">
        <v>25</v>
      </c>
      <c r="B50" s="33"/>
      <c r="C50" s="33">
        <v>11.585295876</v>
      </c>
      <c r="D50" s="33">
        <v>13.633546955000002</v>
      </c>
      <c r="E50" s="30"/>
      <c r="F50" s="30"/>
      <c r="G50" s="30"/>
      <c r="H50" s="34">
        <f t="shared" si="1"/>
        <v>25.218842831000003</v>
      </c>
    </row>
    <row r="51" spans="1:8" x14ac:dyDescent="0.25">
      <c r="A51" s="15" t="s">
        <v>42</v>
      </c>
      <c r="B51" s="30"/>
      <c r="C51" s="33">
        <v>520.57072916449999</v>
      </c>
      <c r="D51" s="33">
        <v>143.9629831</v>
      </c>
      <c r="E51" s="30"/>
      <c r="F51" s="30"/>
      <c r="G51" s="30"/>
      <c r="H51" s="34">
        <f t="shared" si="1"/>
        <v>664.53371226449997</v>
      </c>
    </row>
    <row r="52" spans="1:8" ht="13" thickBot="1" x14ac:dyDescent="0.3">
      <c r="A52" s="15" t="s">
        <v>44</v>
      </c>
      <c r="B52" s="33"/>
      <c r="C52" s="33">
        <v>6.27317502</v>
      </c>
      <c r="D52" s="33"/>
      <c r="E52" s="30"/>
      <c r="F52" s="30"/>
      <c r="G52" s="30"/>
      <c r="H52" s="34">
        <f t="shared" si="1"/>
        <v>6.27317502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pageSetUpPr fitToPage="1"/>
  </sheetPr>
  <dimension ref="A1:H53"/>
  <sheetViews>
    <sheetView topLeftCell="A5" workbookViewId="0">
      <selection activeCell="B38" sqref="B38:D45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64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44838.029604024421</v>
      </c>
      <c r="C7" s="203">
        <f t="shared" ref="C7:G7" si="0">SUM(C8,C18,C27,C37,C47,C53)</f>
        <v>6755.9101855583822</v>
      </c>
      <c r="D7" s="203">
        <f t="shared" si="0"/>
        <v>1396.1050295154434</v>
      </c>
      <c r="E7" s="203">
        <f t="shared" si="0"/>
        <v>1912.6149626445051</v>
      </c>
      <c r="F7" s="203">
        <f t="shared" si="0"/>
        <v>4.1798745400000004E-2</v>
      </c>
      <c r="G7" s="203">
        <f t="shared" si="0"/>
        <v>38.192190858499998</v>
      </c>
      <c r="H7" s="204">
        <f>SUM(B7:G7)</f>
        <v>54940.893771346644</v>
      </c>
    </row>
    <row r="8" spans="1:8" ht="13" thickTop="1" x14ac:dyDescent="0.25">
      <c r="A8" s="14" t="s">
        <v>5</v>
      </c>
      <c r="B8" s="25">
        <f>SUM(B9,B15)</f>
        <v>38232.09502242344</v>
      </c>
      <c r="C8" s="25">
        <f>SUM(C9,C15)</f>
        <v>513.4566788808819</v>
      </c>
      <c r="D8" s="25">
        <f>SUM(D9,D15)</f>
        <v>242.64835640044328</v>
      </c>
      <c r="E8" s="26"/>
      <c r="F8" s="26"/>
      <c r="G8" s="27"/>
      <c r="H8" s="28">
        <f t="shared" ref="H8:H53" si="1">SUM(B8:G8)</f>
        <v>38988.200057704766</v>
      </c>
    </row>
    <row r="9" spans="1:8" x14ac:dyDescent="0.25">
      <c r="A9" s="15" t="s">
        <v>6</v>
      </c>
      <c r="B9" s="29">
        <f>SUM(B10:B14)</f>
        <v>38186.418464539209</v>
      </c>
      <c r="C9" s="29">
        <f>SUM(C10:C14)</f>
        <v>413.57057326919391</v>
      </c>
      <c r="D9" s="29">
        <f>SUM(D10:D14)</f>
        <v>242.59561818203562</v>
      </c>
      <c r="E9" s="30"/>
      <c r="F9" s="30"/>
      <c r="G9" s="30"/>
      <c r="H9" s="31">
        <f t="shared" si="1"/>
        <v>38842.584655990438</v>
      </c>
    </row>
    <row r="10" spans="1:8" x14ac:dyDescent="0.25">
      <c r="A10" s="32" t="s">
        <v>7</v>
      </c>
      <c r="B10" s="33">
        <v>7358.2407895329134</v>
      </c>
      <c r="C10" s="33">
        <v>4.0547012052112859</v>
      </c>
      <c r="D10" s="33">
        <v>61.797128366169161</v>
      </c>
      <c r="E10" s="30"/>
      <c r="F10" s="30"/>
      <c r="G10" s="30"/>
      <c r="H10" s="34">
        <f t="shared" si="1"/>
        <v>7424.0926191042936</v>
      </c>
    </row>
    <row r="11" spans="1:8" x14ac:dyDescent="0.25">
      <c r="A11" s="32" t="s">
        <v>8</v>
      </c>
      <c r="B11" s="33">
        <v>10784.362201468564</v>
      </c>
      <c r="C11" s="33">
        <v>240.36096776209484</v>
      </c>
      <c r="D11" s="33">
        <v>34.101935598240708</v>
      </c>
      <c r="E11" s="30"/>
      <c r="F11" s="30"/>
      <c r="G11" s="30"/>
      <c r="H11" s="34">
        <f t="shared" si="1"/>
        <v>11058.8251048289</v>
      </c>
    </row>
    <row r="12" spans="1:8" x14ac:dyDescent="0.25">
      <c r="A12" s="32" t="s">
        <v>9</v>
      </c>
      <c r="B12" s="33">
        <v>14735.69598153773</v>
      </c>
      <c r="C12" s="35">
        <v>46.949136169887801</v>
      </c>
      <c r="D12" s="33">
        <v>121.36328508762575</v>
      </c>
      <c r="E12" s="30"/>
      <c r="F12" s="30"/>
      <c r="G12" s="30"/>
      <c r="H12" s="34">
        <f t="shared" si="1"/>
        <v>14904.008402795243</v>
      </c>
    </row>
    <row r="13" spans="1:8" x14ac:dyDescent="0.25">
      <c r="A13" s="32" t="s">
        <v>10</v>
      </c>
      <c r="B13" s="33">
        <v>5241.8689279999999</v>
      </c>
      <c r="C13" s="33">
        <v>122.1544639</v>
      </c>
      <c r="D13" s="33">
        <v>24.849502089999998</v>
      </c>
      <c r="E13" s="30"/>
      <c r="F13" s="30"/>
      <c r="G13" s="30"/>
      <c r="H13" s="34">
        <f t="shared" si="1"/>
        <v>5388.8728939900002</v>
      </c>
    </row>
    <row r="14" spans="1:8" x14ac:dyDescent="0.25">
      <c r="A14" s="32" t="s">
        <v>11</v>
      </c>
      <c r="B14" s="33">
        <v>66.250563999999997</v>
      </c>
      <c r="C14" s="33">
        <v>5.1304231999999998E-2</v>
      </c>
      <c r="D14" s="33">
        <v>0.48376703999999998</v>
      </c>
      <c r="E14" s="30"/>
      <c r="F14" s="30"/>
      <c r="G14" s="30"/>
      <c r="H14" s="34">
        <f t="shared" si="1"/>
        <v>66.785635272000007</v>
      </c>
    </row>
    <row r="15" spans="1:8" x14ac:dyDescent="0.25">
      <c r="A15" s="15" t="s">
        <v>12</v>
      </c>
      <c r="B15" s="33">
        <f>SUM(B16:B17)</f>
        <v>45.676557884228416</v>
      </c>
      <c r="C15" s="33">
        <f>SUM(C16:C17)</f>
        <v>99.886105611687952</v>
      </c>
      <c r="D15" s="33">
        <f>SUM(D16:D17)</f>
        <v>5.2738218407647801E-2</v>
      </c>
      <c r="E15" s="30"/>
      <c r="F15" s="30"/>
      <c r="G15" s="30"/>
      <c r="H15" s="34">
        <f t="shared" si="1"/>
        <v>145.61540171432401</v>
      </c>
    </row>
    <row r="16" spans="1:8" x14ac:dyDescent="0.25">
      <c r="A16" s="32" t="s">
        <v>13</v>
      </c>
      <c r="B16" s="33"/>
      <c r="C16" s="33">
        <v>31.30358322</v>
      </c>
      <c r="D16" s="33"/>
      <c r="E16" s="30"/>
      <c r="F16" s="30"/>
      <c r="G16" s="30"/>
      <c r="H16" s="34">
        <f t="shared" si="1"/>
        <v>31.30358322</v>
      </c>
    </row>
    <row r="17" spans="1:8" ht="13" thickBot="1" x14ac:dyDescent="0.3">
      <c r="A17" s="36" t="s">
        <v>14</v>
      </c>
      <c r="B17" s="37">
        <v>45.676557884228416</v>
      </c>
      <c r="C17" s="37">
        <v>68.582522391687959</v>
      </c>
      <c r="D17" s="37">
        <v>5.2738218407647801E-2</v>
      </c>
      <c r="E17" s="38"/>
      <c r="F17" s="38"/>
      <c r="G17" s="38"/>
      <c r="H17" s="39">
        <f t="shared" si="1"/>
        <v>114.31181849432403</v>
      </c>
    </row>
    <row r="18" spans="1:8" x14ac:dyDescent="0.25">
      <c r="A18" s="14" t="s">
        <v>15</v>
      </c>
      <c r="B18" s="40">
        <f t="shared" ref="B18:G18" si="2">SUM(B19:B26)</f>
        <v>6593.1248116009829</v>
      </c>
      <c r="C18" s="40">
        <f t="shared" si="2"/>
        <v>103.87511567999999</v>
      </c>
      <c r="D18" s="40">
        <f t="shared" si="2"/>
        <v>97.682301105000008</v>
      </c>
      <c r="E18" s="40">
        <f t="shared" si="2"/>
        <v>1912.6149626445051</v>
      </c>
      <c r="F18" s="40">
        <f t="shared" si="2"/>
        <v>4.1798745400000004E-2</v>
      </c>
      <c r="G18" s="41">
        <f t="shared" si="2"/>
        <v>38.192190858499998</v>
      </c>
      <c r="H18" s="28">
        <f t="shared" si="1"/>
        <v>8745.5311806343889</v>
      </c>
    </row>
    <row r="19" spans="1:8" x14ac:dyDescent="0.25">
      <c r="A19" s="15" t="s">
        <v>16</v>
      </c>
      <c r="B19" s="29">
        <v>4405.755676990183</v>
      </c>
      <c r="C19" s="29"/>
      <c r="D19" s="29"/>
      <c r="E19" s="42"/>
      <c r="F19" s="42"/>
      <c r="G19" s="42"/>
      <c r="H19" s="31">
        <f t="shared" si="1"/>
        <v>4405.755676990183</v>
      </c>
    </row>
    <row r="20" spans="1:8" x14ac:dyDescent="0.25">
      <c r="A20" s="15" t="s">
        <v>17</v>
      </c>
      <c r="B20" s="33">
        <v>2076.8780216107994</v>
      </c>
      <c r="C20" s="33">
        <v>103.87511567999999</v>
      </c>
      <c r="D20" s="33">
        <v>28.439693999999999</v>
      </c>
      <c r="E20" s="33">
        <v>427.05293382605004</v>
      </c>
      <c r="F20" s="33"/>
      <c r="G20" s="33"/>
      <c r="H20" s="34">
        <f t="shared" si="1"/>
        <v>2636.2457651168493</v>
      </c>
    </row>
    <row r="21" spans="1:8" x14ac:dyDescent="0.25">
      <c r="A21" s="15" t="s">
        <v>18</v>
      </c>
      <c r="B21" s="33">
        <v>61.727199999999996</v>
      </c>
      <c r="C21" s="33"/>
      <c r="D21" s="33"/>
      <c r="E21" s="30"/>
      <c r="F21" s="33"/>
      <c r="G21" s="43"/>
      <c r="H21" s="34">
        <f t="shared" si="1"/>
        <v>61.727199999999996</v>
      </c>
    </row>
    <row r="22" spans="1:8" x14ac:dyDescent="0.25">
      <c r="A22" s="15" t="s">
        <v>32</v>
      </c>
      <c r="B22" s="33">
        <v>48.763913000000002</v>
      </c>
      <c r="C22" s="33"/>
      <c r="D22" s="33"/>
      <c r="E22" s="30"/>
      <c r="F22" s="30"/>
      <c r="G22" s="30"/>
      <c r="H22" s="34">
        <f t="shared" si="1"/>
        <v>48.763913000000002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1485.562028818455</v>
      </c>
      <c r="F24" s="33">
        <v>4.1798745400000004E-2</v>
      </c>
      <c r="G24" s="33"/>
      <c r="H24" s="34">
        <f t="shared" si="1"/>
        <v>1485.603827563855</v>
      </c>
    </row>
    <row r="25" spans="1:8" x14ac:dyDescent="0.25">
      <c r="A25" s="15" t="s">
        <v>34</v>
      </c>
      <c r="B25" s="33"/>
      <c r="C25" s="33"/>
      <c r="D25" s="33">
        <v>69.242607105000005</v>
      </c>
      <c r="E25" s="33"/>
      <c r="F25" s="33"/>
      <c r="G25" s="33">
        <v>38.192190858499998</v>
      </c>
      <c r="H25" s="34">
        <f t="shared" si="1"/>
        <v>107.4347979635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12.80977</v>
      </c>
      <c r="C27" s="40">
        <f>SUM(C28:C36)</f>
        <v>3754.6475141279998</v>
      </c>
      <c r="D27" s="40">
        <f>SUM(D28:D36)</f>
        <v>890.84974316</v>
      </c>
      <c r="E27" s="45"/>
      <c r="F27" s="45"/>
      <c r="G27" s="46"/>
      <c r="H27" s="28">
        <f t="shared" si="1"/>
        <v>4658.3070272879995</v>
      </c>
    </row>
    <row r="28" spans="1:8" x14ac:dyDescent="0.25">
      <c r="A28" s="15" t="s">
        <v>19</v>
      </c>
      <c r="B28" s="42"/>
      <c r="C28" s="29">
        <v>1328.3179673959999</v>
      </c>
      <c r="D28" s="47"/>
      <c r="E28" s="30"/>
      <c r="F28" s="30"/>
      <c r="G28" s="30"/>
      <c r="H28" s="31">
        <f t="shared" si="1"/>
        <v>1328.3179673959999</v>
      </c>
    </row>
    <row r="29" spans="1:8" x14ac:dyDescent="0.25">
      <c r="A29" s="15" t="s">
        <v>20</v>
      </c>
      <c r="B29" s="30"/>
      <c r="C29" s="33">
        <v>2305.7510363439997</v>
      </c>
      <c r="D29" s="33">
        <v>396.21221819000004</v>
      </c>
      <c r="E29" s="30"/>
      <c r="F29" s="30"/>
      <c r="G29" s="30"/>
      <c r="H29" s="34">
        <f t="shared" si="1"/>
        <v>2701.9632545339996</v>
      </c>
    </row>
    <row r="30" spans="1:8" x14ac:dyDescent="0.25">
      <c r="A30" s="15" t="s">
        <v>21</v>
      </c>
      <c r="B30" s="30"/>
      <c r="C30" s="33">
        <v>120.211283248</v>
      </c>
      <c r="D30" s="48"/>
      <c r="E30" s="30"/>
      <c r="F30" s="30"/>
      <c r="G30" s="30"/>
      <c r="H30" s="34">
        <f t="shared" si="1"/>
        <v>120.211283248</v>
      </c>
    </row>
    <row r="31" spans="1:8" x14ac:dyDescent="0.25">
      <c r="A31" s="15" t="s">
        <v>22</v>
      </c>
      <c r="B31" s="49"/>
      <c r="C31" s="33"/>
      <c r="D31" s="33">
        <v>494.54741834499998</v>
      </c>
      <c r="E31" s="30"/>
      <c r="F31" s="30"/>
      <c r="G31" s="30"/>
      <c r="H31" s="34">
        <f t="shared" si="1"/>
        <v>494.54741834499998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0.36722714000000001</v>
      </c>
      <c r="D33" s="33">
        <v>9.010662500000001E-2</v>
      </c>
      <c r="E33" s="30"/>
      <c r="F33" s="30"/>
      <c r="G33" s="30"/>
      <c r="H33" s="34">
        <f t="shared" si="1"/>
        <v>0.457333765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10.865877000000001</v>
      </c>
      <c r="C35" s="50"/>
      <c r="D35" s="50"/>
      <c r="E35" s="51"/>
      <c r="F35" s="51"/>
      <c r="G35" s="51"/>
      <c r="H35" s="52">
        <f t="shared" si="1"/>
        <v>10.865877000000001</v>
      </c>
    </row>
    <row r="36" spans="1:8" ht="13" thickBot="1" x14ac:dyDescent="0.3">
      <c r="A36" s="16" t="s">
        <v>48</v>
      </c>
      <c r="B36" s="37">
        <v>1.9438930000000001</v>
      </c>
      <c r="C36" s="37"/>
      <c r="D36" s="37"/>
      <c r="E36" s="38"/>
      <c r="F36" s="38"/>
      <c r="G36" s="38"/>
      <c r="H36" s="39">
        <f t="shared" si="1"/>
        <v>1.9438930000000001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2383.9308768695</v>
      </c>
      <c r="D47" s="40">
        <f>SUM(D48:D52)</f>
        <v>164.92462885</v>
      </c>
      <c r="E47" s="45"/>
      <c r="F47" s="45"/>
      <c r="G47" s="46"/>
      <c r="H47" s="53">
        <f t="shared" si="1"/>
        <v>2548.8555057194999</v>
      </c>
    </row>
    <row r="48" spans="1:8" x14ac:dyDescent="0.25">
      <c r="A48" s="15" t="s">
        <v>24</v>
      </c>
      <c r="B48" s="29"/>
      <c r="C48" s="29">
        <v>1813.9990361360001</v>
      </c>
      <c r="D48" s="29"/>
      <c r="E48" s="30"/>
      <c r="F48" s="30"/>
      <c r="G48" s="30"/>
      <c r="H48" s="31">
        <f t="shared" si="1"/>
        <v>1813.9990361360001</v>
      </c>
    </row>
    <row r="49" spans="1:8" x14ac:dyDescent="0.25">
      <c r="A49" s="15" t="s">
        <v>43</v>
      </c>
      <c r="B49" s="29"/>
      <c r="C49" s="29">
        <v>12.874862252</v>
      </c>
      <c r="D49" s="29">
        <v>6.6007085100000005</v>
      </c>
      <c r="E49" s="30"/>
      <c r="F49" s="30"/>
      <c r="G49" s="30"/>
      <c r="H49" s="31">
        <f t="shared" si="1"/>
        <v>19.475570762</v>
      </c>
    </row>
    <row r="50" spans="1:8" x14ac:dyDescent="0.25">
      <c r="A50" s="15" t="s">
        <v>25</v>
      </c>
      <c r="B50" s="33"/>
      <c r="C50" s="33">
        <v>11.503500876</v>
      </c>
      <c r="D50" s="33">
        <v>13.78414619</v>
      </c>
      <c r="E50" s="30"/>
      <c r="F50" s="30"/>
      <c r="G50" s="30"/>
      <c r="H50" s="34">
        <f t="shared" si="1"/>
        <v>25.287647065999998</v>
      </c>
    </row>
    <row r="51" spans="1:8" x14ac:dyDescent="0.25">
      <c r="A51" s="15" t="s">
        <v>42</v>
      </c>
      <c r="B51" s="30"/>
      <c r="C51" s="33">
        <v>538.97627682149994</v>
      </c>
      <c r="D51" s="33">
        <v>144.53977415</v>
      </c>
      <c r="E51" s="30"/>
      <c r="F51" s="30"/>
      <c r="G51" s="30"/>
      <c r="H51" s="34">
        <f t="shared" si="1"/>
        <v>683.51605097149991</v>
      </c>
    </row>
    <row r="52" spans="1:8" ht="13" thickBot="1" x14ac:dyDescent="0.3">
      <c r="A52" s="15" t="s">
        <v>44</v>
      </c>
      <c r="B52" s="33"/>
      <c r="C52" s="33">
        <v>6.5772007840000004</v>
      </c>
      <c r="D52" s="33"/>
      <c r="E52" s="30"/>
      <c r="F52" s="30"/>
      <c r="G52" s="30"/>
      <c r="H52" s="34">
        <f t="shared" si="1"/>
        <v>6.5772007840000004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pageSetUpPr fitToPage="1"/>
  </sheetPr>
  <dimension ref="A1:H53"/>
  <sheetViews>
    <sheetView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63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42597.101678104758</v>
      </c>
      <c r="C7" s="203">
        <f t="shared" ref="C7:G7" si="0">SUM(C8,C18,C27,C37,C47,C53)</f>
        <v>7099.5219032364776</v>
      </c>
      <c r="D7" s="203">
        <f t="shared" si="0"/>
        <v>1489.5930788724449</v>
      </c>
      <c r="E7" s="203">
        <f t="shared" si="0"/>
        <v>2084.9385072560635</v>
      </c>
      <c r="F7" s="203">
        <f t="shared" si="0"/>
        <v>4.1287356300000001E-2</v>
      </c>
      <c r="G7" s="203">
        <f t="shared" si="0"/>
        <v>34.320212488999999</v>
      </c>
      <c r="H7" s="204">
        <f>SUM(B7:G7)</f>
        <v>53305.516667315038</v>
      </c>
    </row>
    <row r="8" spans="1:8" ht="13" thickTop="1" x14ac:dyDescent="0.25">
      <c r="A8" s="14" t="s">
        <v>5</v>
      </c>
      <c r="B8" s="25">
        <f>SUM(B9,B15)</f>
        <v>36083.592291900844</v>
      </c>
      <c r="C8" s="25">
        <f>SUM(C9,C15)</f>
        <v>488.49999279247766</v>
      </c>
      <c r="D8" s="25">
        <f>SUM(D9,D15)</f>
        <v>220.67467642244503</v>
      </c>
      <c r="E8" s="26"/>
      <c r="F8" s="26"/>
      <c r="G8" s="27"/>
      <c r="H8" s="28">
        <f t="shared" ref="H8:H53" si="1">SUM(B8:G8)</f>
        <v>36792.766961115769</v>
      </c>
    </row>
    <row r="9" spans="1:8" x14ac:dyDescent="0.25">
      <c r="A9" s="15" t="s">
        <v>6</v>
      </c>
      <c r="B9" s="29">
        <f>SUM(B10:B14)</f>
        <v>36036.005927596823</v>
      </c>
      <c r="C9" s="29">
        <f>SUM(C10:C14)</f>
        <v>393.21074412961786</v>
      </c>
      <c r="D9" s="29">
        <f>SUM(D10:D14)</f>
        <v>220.60811530584891</v>
      </c>
      <c r="E9" s="30"/>
      <c r="F9" s="30"/>
      <c r="G9" s="30"/>
      <c r="H9" s="31">
        <f t="shared" si="1"/>
        <v>36649.824787032288</v>
      </c>
    </row>
    <row r="10" spans="1:8" x14ac:dyDescent="0.25">
      <c r="A10" s="32" t="s">
        <v>7</v>
      </c>
      <c r="B10" s="33">
        <v>5370.6665292717935</v>
      </c>
      <c r="C10" s="33">
        <v>3.007394453097616</v>
      </c>
      <c r="D10" s="33">
        <v>37.667718271084638</v>
      </c>
      <c r="E10" s="30"/>
      <c r="F10" s="30"/>
      <c r="G10" s="30"/>
      <c r="H10" s="34">
        <f t="shared" si="1"/>
        <v>5411.3416419959758</v>
      </c>
    </row>
    <row r="11" spans="1:8" x14ac:dyDescent="0.25">
      <c r="A11" s="32" t="s">
        <v>8</v>
      </c>
      <c r="B11" s="33">
        <v>11178.194141125343</v>
      </c>
      <c r="C11" s="33">
        <v>222.45620180226183</v>
      </c>
      <c r="D11" s="33">
        <v>35.904974806224203</v>
      </c>
      <c r="E11" s="30"/>
      <c r="F11" s="30"/>
      <c r="G11" s="30"/>
      <c r="H11" s="34">
        <f t="shared" si="1"/>
        <v>11436.55531773383</v>
      </c>
    </row>
    <row r="12" spans="1:8" x14ac:dyDescent="0.25">
      <c r="A12" s="32" t="s">
        <v>9</v>
      </c>
      <c r="B12" s="33">
        <v>14312.82281119969</v>
      </c>
      <c r="C12" s="35">
        <v>49.111570870258404</v>
      </c>
      <c r="D12" s="33">
        <v>122.26252978354005</v>
      </c>
      <c r="E12" s="30"/>
      <c r="F12" s="30"/>
      <c r="G12" s="30"/>
      <c r="H12" s="34">
        <f t="shared" si="1"/>
        <v>14484.196911853489</v>
      </c>
    </row>
    <row r="13" spans="1:8" x14ac:dyDescent="0.25">
      <c r="A13" s="32" t="s">
        <v>10</v>
      </c>
      <c r="B13" s="33">
        <v>5114.5848789999991</v>
      </c>
      <c r="C13" s="33">
        <v>118.58912520000001</v>
      </c>
      <c r="D13" s="33">
        <v>24.335767260000001</v>
      </c>
      <c r="E13" s="30"/>
      <c r="F13" s="30"/>
      <c r="G13" s="30"/>
      <c r="H13" s="34">
        <f t="shared" si="1"/>
        <v>5257.5097714599988</v>
      </c>
    </row>
    <row r="14" spans="1:8" x14ac:dyDescent="0.25">
      <c r="A14" s="32" t="s">
        <v>11</v>
      </c>
      <c r="B14" s="33">
        <v>59.737566999999999</v>
      </c>
      <c r="C14" s="33">
        <v>4.6451803999999999E-2</v>
      </c>
      <c r="D14" s="33">
        <v>0.43712518500000003</v>
      </c>
      <c r="E14" s="30"/>
      <c r="F14" s="30"/>
      <c r="G14" s="30"/>
      <c r="H14" s="34">
        <f t="shared" si="1"/>
        <v>60.221143988999998</v>
      </c>
    </row>
    <row r="15" spans="1:8" x14ac:dyDescent="0.25">
      <c r="A15" s="15" t="s">
        <v>12</v>
      </c>
      <c r="B15" s="33">
        <f>SUM(B16:B17)</f>
        <v>47.586364304019732</v>
      </c>
      <c r="C15" s="33">
        <f>SUM(C16:C17)</f>
        <v>95.289248662859791</v>
      </c>
      <c r="D15" s="33">
        <f>SUM(D16:D17)</f>
        <v>6.6561116596125597E-2</v>
      </c>
      <c r="E15" s="30"/>
      <c r="F15" s="30"/>
      <c r="G15" s="30"/>
      <c r="H15" s="34">
        <f t="shared" si="1"/>
        <v>142.94217408347563</v>
      </c>
    </row>
    <row r="16" spans="1:8" x14ac:dyDescent="0.25">
      <c r="A16" s="32" t="s">
        <v>13</v>
      </c>
      <c r="B16" s="33"/>
      <c r="C16" s="33">
        <v>24.021326420000001</v>
      </c>
      <c r="D16" s="33"/>
      <c r="E16" s="30"/>
      <c r="F16" s="30"/>
      <c r="G16" s="30"/>
      <c r="H16" s="34">
        <f t="shared" si="1"/>
        <v>24.021326420000001</v>
      </c>
    </row>
    <row r="17" spans="1:8" ht="13" thickBot="1" x14ac:dyDescent="0.3">
      <c r="A17" s="36" t="s">
        <v>14</v>
      </c>
      <c r="B17" s="37">
        <v>47.586364304019732</v>
      </c>
      <c r="C17" s="37">
        <v>71.267922242859797</v>
      </c>
      <c r="D17" s="37">
        <v>6.6561116596125597E-2</v>
      </c>
      <c r="E17" s="38"/>
      <c r="F17" s="38"/>
      <c r="G17" s="38"/>
      <c r="H17" s="39">
        <f t="shared" si="1"/>
        <v>118.92084766347566</v>
      </c>
    </row>
    <row r="18" spans="1:8" x14ac:dyDescent="0.25">
      <c r="A18" s="14" t="s">
        <v>15</v>
      </c>
      <c r="B18" s="40">
        <f t="shared" ref="B18:G18" si="2">SUM(B19:B26)</f>
        <v>6496.5783012039192</v>
      </c>
      <c r="C18" s="40">
        <f t="shared" si="2"/>
        <v>103.5523232800001</v>
      </c>
      <c r="D18" s="40">
        <f t="shared" si="2"/>
        <v>107.60708561</v>
      </c>
      <c r="E18" s="40">
        <f t="shared" si="2"/>
        <v>2084.9385072560635</v>
      </c>
      <c r="F18" s="40">
        <f t="shared" si="2"/>
        <v>4.1287356300000001E-2</v>
      </c>
      <c r="G18" s="41">
        <f t="shared" si="2"/>
        <v>34.320212488999999</v>
      </c>
      <c r="H18" s="28">
        <f t="shared" si="1"/>
        <v>8827.0377171952805</v>
      </c>
    </row>
    <row r="19" spans="1:8" x14ac:dyDescent="0.25">
      <c r="A19" s="15" t="s">
        <v>16</v>
      </c>
      <c r="B19" s="29">
        <v>4339.8022870371005</v>
      </c>
      <c r="C19" s="29"/>
      <c r="D19" s="29"/>
      <c r="E19" s="42"/>
      <c r="F19" s="42"/>
      <c r="G19" s="42"/>
      <c r="H19" s="31">
        <f t="shared" si="1"/>
        <v>4339.8022870371005</v>
      </c>
    </row>
    <row r="20" spans="1:8" x14ac:dyDescent="0.25">
      <c r="A20" s="15" t="s">
        <v>17</v>
      </c>
      <c r="B20" s="33">
        <v>2071.5220034526183</v>
      </c>
      <c r="C20" s="33">
        <v>103.5523232800001</v>
      </c>
      <c r="D20" s="33">
        <v>27.731826000000002</v>
      </c>
      <c r="E20" s="33">
        <v>867.95766420799998</v>
      </c>
      <c r="F20" s="33"/>
      <c r="G20" s="33"/>
      <c r="H20" s="34">
        <f t="shared" si="1"/>
        <v>3070.7638169406187</v>
      </c>
    </row>
    <row r="21" spans="1:8" x14ac:dyDescent="0.25">
      <c r="A21" s="15" t="s">
        <v>18</v>
      </c>
      <c r="B21" s="33">
        <v>37.559632714199999</v>
      </c>
      <c r="C21" s="33"/>
      <c r="D21" s="33"/>
      <c r="E21" s="30"/>
      <c r="F21" s="33"/>
      <c r="G21" s="43"/>
      <c r="H21" s="34">
        <f t="shared" si="1"/>
        <v>37.559632714199999</v>
      </c>
    </row>
    <row r="22" spans="1:8" x14ac:dyDescent="0.25">
      <c r="A22" s="15" t="s">
        <v>32</v>
      </c>
      <c r="B22" s="33">
        <v>47.694378</v>
      </c>
      <c r="C22" s="33"/>
      <c r="D22" s="33"/>
      <c r="E22" s="30"/>
      <c r="F22" s="30"/>
      <c r="G22" s="30"/>
      <c r="H22" s="34">
        <f t="shared" si="1"/>
        <v>47.694378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1216.9808430480634</v>
      </c>
      <c r="F24" s="33">
        <v>4.1287356300000001E-2</v>
      </c>
      <c r="G24" s="33"/>
      <c r="H24" s="34">
        <f t="shared" si="1"/>
        <v>1217.0221304043635</v>
      </c>
    </row>
    <row r="25" spans="1:8" x14ac:dyDescent="0.25">
      <c r="A25" s="15" t="s">
        <v>34</v>
      </c>
      <c r="B25" s="33"/>
      <c r="C25" s="33"/>
      <c r="D25" s="33">
        <v>79.875259610000001</v>
      </c>
      <c r="E25" s="33"/>
      <c r="F25" s="33"/>
      <c r="G25" s="33">
        <v>34.320212488999999</v>
      </c>
      <c r="H25" s="34">
        <f t="shared" si="1"/>
        <v>114.195472099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16.931084999999999</v>
      </c>
      <c r="C27" s="40">
        <f>SUM(C28:C36)</f>
        <v>3875.1552935200002</v>
      </c>
      <c r="D27" s="40">
        <f>SUM(D28:D36)</f>
        <v>1005.6716612649999</v>
      </c>
      <c r="E27" s="45"/>
      <c r="F27" s="45"/>
      <c r="G27" s="46"/>
      <c r="H27" s="28">
        <f t="shared" si="1"/>
        <v>4897.7580397850006</v>
      </c>
    </row>
    <row r="28" spans="1:8" x14ac:dyDescent="0.25">
      <c r="A28" s="15" t="s">
        <v>19</v>
      </c>
      <c r="B28" s="42"/>
      <c r="C28" s="29">
        <v>1439.1911095800001</v>
      </c>
      <c r="D28" s="47"/>
      <c r="E28" s="30"/>
      <c r="F28" s="30"/>
      <c r="G28" s="30"/>
      <c r="H28" s="31">
        <f t="shared" si="1"/>
        <v>1439.1911095800001</v>
      </c>
    </row>
    <row r="29" spans="1:8" x14ac:dyDescent="0.25">
      <c r="A29" s="15" t="s">
        <v>20</v>
      </c>
      <c r="B29" s="30"/>
      <c r="C29" s="33">
        <v>2316.2695264240001</v>
      </c>
      <c r="D29" s="33">
        <v>445.94744522000002</v>
      </c>
      <c r="E29" s="30"/>
      <c r="F29" s="30"/>
      <c r="G29" s="30"/>
      <c r="H29" s="34">
        <f t="shared" si="1"/>
        <v>2762.2169716440003</v>
      </c>
    </row>
    <row r="30" spans="1:8" x14ac:dyDescent="0.25">
      <c r="A30" s="15" t="s">
        <v>21</v>
      </c>
      <c r="B30" s="30"/>
      <c r="C30" s="33">
        <v>119.3052658</v>
      </c>
      <c r="D30" s="48"/>
      <c r="E30" s="30"/>
      <c r="F30" s="30"/>
      <c r="G30" s="30"/>
      <c r="H30" s="34">
        <f t="shared" si="1"/>
        <v>119.3052658</v>
      </c>
    </row>
    <row r="31" spans="1:8" x14ac:dyDescent="0.25">
      <c r="A31" s="15" t="s">
        <v>22</v>
      </c>
      <c r="B31" s="49"/>
      <c r="C31" s="33"/>
      <c r="D31" s="33">
        <v>559.62867082499997</v>
      </c>
      <c r="E31" s="30"/>
      <c r="F31" s="30"/>
      <c r="G31" s="30"/>
      <c r="H31" s="34">
        <f t="shared" si="1"/>
        <v>559.62867082499997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0.389391716</v>
      </c>
      <c r="D33" s="33">
        <v>9.554522E-2</v>
      </c>
      <c r="E33" s="30"/>
      <c r="F33" s="30"/>
      <c r="G33" s="30"/>
      <c r="H33" s="34">
        <f t="shared" si="1"/>
        <v>0.48493693599999999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14.333803</v>
      </c>
      <c r="C35" s="50"/>
      <c r="D35" s="50"/>
      <c r="E35" s="51"/>
      <c r="F35" s="51"/>
      <c r="G35" s="51"/>
      <c r="H35" s="52">
        <f t="shared" si="1"/>
        <v>14.333803</v>
      </c>
    </row>
    <row r="36" spans="1:8" ht="13" thickBot="1" x14ac:dyDescent="0.3">
      <c r="A36" s="16" t="s">
        <v>48</v>
      </c>
      <c r="B36" s="37">
        <v>2.5972819999999999</v>
      </c>
      <c r="C36" s="37"/>
      <c r="D36" s="37"/>
      <c r="E36" s="38"/>
      <c r="F36" s="38"/>
      <c r="G36" s="38"/>
      <c r="H36" s="39">
        <f t="shared" si="1"/>
        <v>2.5972819999999999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0</v>
      </c>
      <c r="C47" s="40">
        <f>SUM(C48:C52)</f>
        <v>2632.3142936439999</v>
      </c>
      <c r="D47" s="40">
        <f>SUM(D48:D52)</f>
        <v>155.63965557500001</v>
      </c>
      <c r="E47" s="45"/>
      <c r="F47" s="45"/>
      <c r="G47" s="46"/>
      <c r="H47" s="53">
        <f t="shared" si="1"/>
        <v>2787.9539492189997</v>
      </c>
    </row>
    <row r="48" spans="1:8" x14ac:dyDescent="0.25">
      <c r="A48" s="15" t="s">
        <v>24</v>
      </c>
      <c r="B48" s="29"/>
      <c r="C48" s="29">
        <v>2031.802324216</v>
      </c>
      <c r="D48" s="29"/>
      <c r="E48" s="30"/>
      <c r="F48" s="30"/>
      <c r="G48" s="30"/>
      <c r="H48" s="31">
        <f t="shared" si="1"/>
        <v>2031.802324216</v>
      </c>
    </row>
    <row r="49" spans="1:8" x14ac:dyDescent="0.25">
      <c r="A49" s="15" t="s">
        <v>43</v>
      </c>
      <c r="B49" s="29"/>
      <c r="C49" s="29">
        <v>10.844180395999999</v>
      </c>
      <c r="D49" s="29">
        <v>5.6455835849999998</v>
      </c>
      <c r="E49" s="30"/>
      <c r="F49" s="30"/>
      <c r="G49" s="30"/>
      <c r="H49" s="31">
        <f t="shared" si="1"/>
        <v>16.489763980999999</v>
      </c>
    </row>
    <row r="50" spans="1:8" x14ac:dyDescent="0.25">
      <c r="A50" s="15" t="s">
        <v>25</v>
      </c>
      <c r="B50" s="33"/>
      <c r="C50" s="33">
        <v>12.444966632</v>
      </c>
      <c r="D50" s="33">
        <v>14.56074989</v>
      </c>
      <c r="E50" s="30"/>
      <c r="F50" s="30"/>
      <c r="G50" s="30"/>
      <c r="H50" s="34">
        <f t="shared" si="1"/>
        <v>27.005716522</v>
      </c>
    </row>
    <row r="51" spans="1:8" x14ac:dyDescent="0.25">
      <c r="A51" s="15" t="s">
        <v>42</v>
      </c>
      <c r="B51" s="30"/>
      <c r="C51" s="33">
        <v>570.74828649999995</v>
      </c>
      <c r="D51" s="33">
        <v>135.4333221</v>
      </c>
      <c r="E51" s="30"/>
      <c r="F51" s="30"/>
      <c r="G51" s="30"/>
      <c r="H51" s="34">
        <f t="shared" si="1"/>
        <v>706.18160859999989</v>
      </c>
    </row>
    <row r="52" spans="1:8" ht="13" thickBot="1" x14ac:dyDescent="0.3">
      <c r="A52" s="15" t="s">
        <v>44</v>
      </c>
      <c r="B52" s="33"/>
      <c r="C52" s="33">
        <v>6.4745359000000002</v>
      </c>
      <c r="D52" s="33"/>
      <c r="E52" s="30"/>
      <c r="F52" s="30"/>
      <c r="G52" s="30"/>
      <c r="H52" s="34">
        <f t="shared" si="1"/>
        <v>6.4745359000000002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pageSetUpPr fitToPage="1"/>
  </sheetPr>
  <dimension ref="A1:H53"/>
  <sheetViews>
    <sheetView topLeftCell="A3"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62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40331.368340307221</v>
      </c>
      <c r="C7" s="203">
        <f t="shared" ref="C7:G7" si="0">SUM(C8,C18,C27,C37,C47,C53)</f>
        <v>7242.3000011479962</v>
      </c>
      <c r="D7" s="203">
        <f t="shared" si="0"/>
        <v>1450.3980415030028</v>
      </c>
      <c r="E7" s="203">
        <f t="shared" si="0"/>
        <v>1057.895075096844</v>
      </c>
      <c r="F7" s="203">
        <f t="shared" si="0"/>
        <v>4.1211919499999992E-2</v>
      </c>
      <c r="G7" s="203">
        <f t="shared" si="0"/>
        <v>35.566786156999996</v>
      </c>
      <c r="H7" s="204">
        <f>SUM(B7:G7)</f>
        <v>50117.569456131561</v>
      </c>
    </row>
    <row r="8" spans="1:8" ht="13" thickTop="1" x14ac:dyDescent="0.25">
      <c r="A8" s="14" t="s">
        <v>5</v>
      </c>
      <c r="B8" s="25">
        <f>SUM(B9,B15)</f>
        <v>34121.291490777992</v>
      </c>
      <c r="C8" s="25">
        <f>SUM(C9,C15)</f>
        <v>464.15669150749596</v>
      </c>
      <c r="D8" s="25">
        <f>SUM(D9,D15)</f>
        <v>204.75530137300279</v>
      </c>
      <c r="E8" s="26"/>
      <c r="F8" s="26"/>
      <c r="G8" s="27"/>
      <c r="H8" s="28">
        <f t="shared" ref="H8:H53" si="1">SUM(B8:G8)</f>
        <v>34790.203483658486</v>
      </c>
    </row>
    <row r="9" spans="1:8" x14ac:dyDescent="0.25">
      <c r="A9" s="15" t="s">
        <v>6</v>
      </c>
      <c r="B9" s="29">
        <f>SUM(B10:B14)</f>
        <v>34074.901457958549</v>
      </c>
      <c r="C9" s="29">
        <f>SUM(C10:C14)</f>
        <v>348.03504983458743</v>
      </c>
      <c r="D9" s="29">
        <f>SUM(D10:D14)</f>
        <v>204.68989126153943</v>
      </c>
      <c r="E9" s="30"/>
      <c r="F9" s="30"/>
      <c r="G9" s="30"/>
      <c r="H9" s="31">
        <f t="shared" si="1"/>
        <v>34627.626399054672</v>
      </c>
    </row>
    <row r="10" spans="1:8" x14ac:dyDescent="0.25">
      <c r="A10" s="32" t="s">
        <v>7</v>
      </c>
      <c r="B10" s="33">
        <v>5330.8309377093683</v>
      </c>
      <c r="C10" s="33">
        <v>2.9854091503003284</v>
      </c>
      <c r="D10" s="33">
        <v>28.404243609512115</v>
      </c>
      <c r="E10" s="30"/>
      <c r="F10" s="30"/>
      <c r="G10" s="30"/>
      <c r="H10" s="34">
        <f t="shared" si="1"/>
        <v>5362.2205904691809</v>
      </c>
    </row>
    <row r="11" spans="1:8" x14ac:dyDescent="0.25">
      <c r="A11" s="32" t="s">
        <v>8</v>
      </c>
      <c r="B11" s="33">
        <v>10165.728525452858</v>
      </c>
      <c r="C11" s="33">
        <v>179.24103599635069</v>
      </c>
      <c r="D11" s="33">
        <v>31.546359713547879</v>
      </c>
      <c r="E11" s="30"/>
      <c r="F11" s="30"/>
      <c r="G11" s="30"/>
      <c r="H11" s="34">
        <f t="shared" si="1"/>
        <v>10376.515921162756</v>
      </c>
    </row>
    <row r="12" spans="1:8" x14ac:dyDescent="0.25">
      <c r="A12" s="32" t="s">
        <v>9</v>
      </c>
      <c r="B12" s="33">
        <v>13622.056775796322</v>
      </c>
      <c r="C12" s="35">
        <v>48.361369803936391</v>
      </c>
      <c r="D12" s="33">
        <v>120.39120188847944</v>
      </c>
      <c r="E12" s="30"/>
      <c r="F12" s="30"/>
      <c r="G12" s="30"/>
      <c r="H12" s="34">
        <f t="shared" si="1"/>
        <v>13790.809347488739</v>
      </c>
    </row>
    <row r="13" spans="1:8" x14ac:dyDescent="0.25">
      <c r="A13" s="32" t="s">
        <v>10</v>
      </c>
      <c r="B13" s="33">
        <v>4899.7341690000003</v>
      </c>
      <c r="C13" s="33">
        <v>117.40327424</v>
      </c>
      <c r="D13" s="33">
        <v>23.934625364999999</v>
      </c>
      <c r="E13" s="30"/>
      <c r="F13" s="30"/>
      <c r="G13" s="30"/>
      <c r="H13" s="34">
        <f t="shared" si="1"/>
        <v>5041.0720686050008</v>
      </c>
    </row>
    <row r="14" spans="1:8" x14ac:dyDescent="0.25">
      <c r="A14" s="32" t="s">
        <v>11</v>
      </c>
      <c r="B14" s="33">
        <v>56.551049999999996</v>
      </c>
      <c r="C14" s="33">
        <v>4.3960644000000007E-2</v>
      </c>
      <c r="D14" s="33">
        <v>0.41346068499999999</v>
      </c>
      <c r="E14" s="30"/>
      <c r="F14" s="30"/>
      <c r="G14" s="30"/>
      <c r="H14" s="34">
        <f t="shared" si="1"/>
        <v>57.008471328999995</v>
      </c>
    </row>
    <row r="15" spans="1:8" x14ac:dyDescent="0.25">
      <c r="A15" s="15" t="s">
        <v>12</v>
      </c>
      <c r="B15" s="33">
        <f>SUM(B16:B17)</f>
        <v>46.390032819442588</v>
      </c>
      <c r="C15" s="33">
        <f>SUM(C16:C17)</f>
        <v>116.12164167290855</v>
      </c>
      <c r="D15" s="33">
        <f>SUM(D16:D17)</f>
        <v>6.5410111463365797E-2</v>
      </c>
      <c r="E15" s="30"/>
      <c r="F15" s="30"/>
      <c r="G15" s="30"/>
      <c r="H15" s="34">
        <f t="shared" si="1"/>
        <v>162.57708460381451</v>
      </c>
    </row>
    <row r="16" spans="1:8" x14ac:dyDescent="0.25">
      <c r="A16" s="32" t="s">
        <v>13</v>
      </c>
      <c r="B16" s="33"/>
      <c r="C16" s="33">
        <v>28.696506020000001</v>
      </c>
      <c r="D16" s="33"/>
      <c r="E16" s="30"/>
      <c r="F16" s="30"/>
      <c r="G16" s="30"/>
      <c r="H16" s="34">
        <f t="shared" si="1"/>
        <v>28.696506020000001</v>
      </c>
    </row>
    <row r="17" spans="1:8" ht="13" thickBot="1" x14ac:dyDescent="0.3">
      <c r="A17" s="36" t="s">
        <v>14</v>
      </c>
      <c r="B17" s="37">
        <v>46.390032819442588</v>
      </c>
      <c r="C17" s="37">
        <v>87.425135652908551</v>
      </c>
      <c r="D17" s="37">
        <v>6.5410111463365797E-2</v>
      </c>
      <c r="E17" s="38"/>
      <c r="F17" s="38"/>
      <c r="G17" s="38"/>
      <c r="H17" s="39">
        <f t="shared" si="1"/>
        <v>133.8805785838145</v>
      </c>
    </row>
    <row r="18" spans="1:8" x14ac:dyDescent="0.25">
      <c r="A18" s="14" t="s">
        <v>15</v>
      </c>
      <c r="B18" s="40">
        <f t="shared" ref="B18:G18" si="2">SUM(B19:B26)</f>
        <v>6195.1796205292276</v>
      </c>
      <c r="C18" s="40">
        <f t="shared" si="2"/>
        <v>90.443542000000065</v>
      </c>
      <c r="D18" s="40">
        <f t="shared" si="2"/>
        <v>123.62203704500001</v>
      </c>
      <c r="E18" s="40">
        <f t="shared" si="2"/>
        <v>1057.895075096844</v>
      </c>
      <c r="F18" s="40">
        <f t="shared" si="2"/>
        <v>4.1211919499999992E-2</v>
      </c>
      <c r="G18" s="41">
        <f t="shared" si="2"/>
        <v>35.566786156999996</v>
      </c>
      <c r="H18" s="28">
        <f t="shared" si="1"/>
        <v>7502.7482727475717</v>
      </c>
    </row>
    <row r="19" spans="1:8" x14ac:dyDescent="0.25">
      <c r="A19" s="15" t="s">
        <v>16</v>
      </c>
      <c r="B19" s="29">
        <v>4360.0352875263925</v>
      </c>
      <c r="C19" s="29"/>
      <c r="D19" s="29"/>
      <c r="E19" s="42"/>
      <c r="F19" s="42"/>
      <c r="G19" s="42"/>
      <c r="H19" s="31">
        <f t="shared" si="1"/>
        <v>4360.0352875263925</v>
      </c>
    </row>
    <row r="20" spans="1:8" x14ac:dyDescent="0.25">
      <c r="A20" s="15" t="s">
        <v>17</v>
      </c>
      <c r="B20" s="33">
        <v>1743.0343648168357</v>
      </c>
      <c r="C20" s="33">
        <v>90.443542000000065</v>
      </c>
      <c r="D20" s="33">
        <v>31.723362000000002</v>
      </c>
      <c r="E20" s="33">
        <v>96.657321655999993</v>
      </c>
      <c r="F20" s="33"/>
      <c r="G20" s="33"/>
      <c r="H20" s="34">
        <f t="shared" si="1"/>
        <v>1961.8585904728357</v>
      </c>
    </row>
    <row r="21" spans="1:8" x14ac:dyDescent="0.25">
      <c r="A21" s="15" t="s">
        <v>18</v>
      </c>
      <c r="B21" s="33">
        <v>39.461810185999994</v>
      </c>
      <c r="C21" s="33"/>
      <c r="D21" s="33"/>
      <c r="E21" s="30"/>
      <c r="F21" s="33"/>
      <c r="G21" s="43"/>
      <c r="H21" s="34">
        <f t="shared" si="1"/>
        <v>39.461810185999994</v>
      </c>
    </row>
    <row r="22" spans="1:8" x14ac:dyDescent="0.25">
      <c r="A22" s="15" t="s">
        <v>32</v>
      </c>
      <c r="B22" s="33">
        <v>52.648158000000002</v>
      </c>
      <c r="C22" s="33"/>
      <c r="D22" s="33"/>
      <c r="E22" s="30"/>
      <c r="F22" s="30"/>
      <c r="G22" s="30"/>
      <c r="H22" s="34">
        <f t="shared" si="1"/>
        <v>52.648158000000002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961.23775344084402</v>
      </c>
      <c r="F24" s="33">
        <v>4.1211919499999992E-2</v>
      </c>
      <c r="G24" s="33"/>
      <c r="H24" s="34">
        <f t="shared" si="1"/>
        <v>961.27896536034405</v>
      </c>
    </row>
    <row r="25" spans="1:8" x14ac:dyDescent="0.25">
      <c r="A25" s="15" t="s">
        <v>34</v>
      </c>
      <c r="B25" s="33"/>
      <c r="C25" s="33"/>
      <c r="D25" s="33">
        <v>91.898675045000005</v>
      </c>
      <c r="E25" s="33"/>
      <c r="F25" s="33"/>
      <c r="G25" s="33">
        <v>35.566786156999996</v>
      </c>
      <c r="H25" s="34">
        <f t="shared" si="1"/>
        <v>127.465461202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10.514604</v>
      </c>
      <c r="C27" s="40">
        <f>SUM(C28:C36)</f>
        <v>3894.3627747080004</v>
      </c>
      <c r="D27" s="40">
        <f>SUM(D28:D36)</f>
        <v>974.41443506000007</v>
      </c>
      <c r="E27" s="45"/>
      <c r="F27" s="45"/>
      <c r="G27" s="46"/>
      <c r="H27" s="28">
        <f t="shared" si="1"/>
        <v>4879.2918137680008</v>
      </c>
    </row>
    <row r="28" spans="1:8" x14ac:dyDescent="0.25">
      <c r="A28" s="15" t="s">
        <v>19</v>
      </c>
      <c r="B28" s="42"/>
      <c r="C28" s="29">
        <v>1467.7719295960001</v>
      </c>
      <c r="D28" s="47"/>
      <c r="E28" s="30"/>
      <c r="F28" s="30"/>
      <c r="G28" s="30"/>
      <c r="H28" s="31">
        <f t="shared" si="1"/>
        <v>1467.7719295960001</v>
      </c>
    </row>
    <row r="29" spans="1:8" x14ac:dyDescent="0.25">
      <c r="A29" s="15" t="s">
        <v>20</v>
      </c>
      <c r="B29" s="30"/>
      <c r="C29" s="33">
        <v>2307.6604600000001</v>
      </c>
      <c r="D29" s="33">
        <v>460.84183991500004</v>
      </c>
      <c r="E29" s="30"/>
      <c r="F29" s="30"/>
      <c r="G29" s="30"/>
      <c r="H29" s="34">
        <f t="shared" si="1"/>
        <v>2768.5022999150001</v>
      </c>
    </row>
    <row r="30" spans="1:8" x14ac:dyDescent="0.25">
      <c r="A30" s="15" t="s">
        <v>21</v>
      </c>
      <c r="B30" s="30"/>
      <c r="C30" s="33">
        <v>118.59379195999999</v>
      </c>
      <c r="D30" s="48"/>
      <c r="E30" s="30"/>
      <c r="F30" s="30"/>
      <c r="G30" s="30"/>
      <c r="H30" s="34">
        <f t="shared" si="1"/>
        <v>118.59379195999999</v>
      </c>
    </row>
    <row r="31" spans="1:8" x14ac:dyDescent="0.25">
      <c r="A31" s="15" t="s">
        <v>22</v>
      </c>
      <c r="B31" s="49"/>
      <c r="C31" s="33"/>
      <c r="D31" s="33">
        <v>513.49000497999998</v>
      </c>
      <c r="E31" s="30"/>
      <c r="F31" s="30"/>
      <c r="G31" s="30"/>
      <c r="H31" s="34">
        <f t="shared" si="1"/>
        <v>513.49000497999998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0.33659315199999995</v>
      </c>
      <c r="D33" s="33">
        <v>8.2590165000000007E-2</v>
      </c>
      <c r="E33" s="30"/>
      <c r="F33" s="30"/>
      <c r="G33" s="30"/>
      <c r="H33" s="34">
        <f t="shared" si="1"/>
        <v>0.41918331699999994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9.1551550000000006</v>
      </c>
      <c r="C35" s="50"/>
      <c r="D35" s="50"/>
      <c r="E35" s="51"/>
      <c r="F35" s="51"/>
      <c r="G35" s="51"/>
      <c r="H35" s="52">
        <f t="shared" si="1"/>
        <v>9.1551550000000006</v>
      </c>
    </row>
    <row r="36" spans="1:8" ht="13" thickBot="1" x14ac:dyDescent="0.3">
      <c r="A36" s="16" t="s">
        <v>48</v>
      </c>
      <c r="B36" s="37">
        <v>1.3594489999999999</v>
      </c>
      <c r="C36" s="37"/>
      <c r="D36" s="37"/>
      <c r="E36" s="38"/>
      <c r="F36" s="38"/>
      <c r="G36" s="38"/>
      <c r="H36" s="39">
        <f t="shared" si="1"/>
        <v>1.3594489999999999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4.382625</v>
      </c>
      <c r="C47" s="40">
        <f>SUM(C48:C52)</f>
        <v>2793.3369929324999</v>
      </c>
      <c r="D47" s="40">
        <f>SUM(D48:D52)</f>
        <v>147.60626802499999</v>
      </c>
      <c r="E47" s="45"/>
      <c r="F47" s="45"/>
      <c r="G47" s="46"/>
      <c r="H47" s="53">
        <f t="shared" si="1"/>
        <v>2945.3258859575003</v>
      </c>
    </row>
    <row r="48" spans="1:8" x14ac:dyDescent="0.25">
      <c r="A48" s="15" t="s">
        <v>24</v>
      </c>
      <c r="B48" s="29"/>
      <c r="C48" s="29">
        <v>2166.6464136519999</v>
      </c>
      <c r="D48" s="29"/>
      <c r="E48" s="30"/>
      <c r="F48" s="30"/>
      <c r="G48" s="30"/>
      <c r="H48" s="31">
        <f t="shared" si="1"/>
        <v>2166.6464136519999</v>
      </c>
    </row>
    <row r="49" spans="1:8" x14ac:dyDescent="0.25">
      <c r="A49" s="15" t="s">
        <v>43</v>
      </c>
      <c r="B49" s="29"/>
      <c r="C49" s="29">
        <v>7.5038297879999991</v>
      </c>
      <c r="D49" s="29">
        <v>4.0380707949999994</v>
      </c>
      <c r="E49" s="30"/>
      <c r="F49" s="30"/>
      <c r="G49" s="30"/>
      <c r="H49" s="31">
        <f t="shared" si="1"/>
        <v>11.541900582999999</v>
      </c>
    </row>
    <row r="50" spans="1:8" x14ac:dyDescent="0.25">
      <c r="A50" s="15" t="s">
        <v>25</v>
      </c>
      <c r="B50" s="33">
        <v>4.382625</v>
      </c>
      <c r="C50" s="33">
        <v>10.114217568000001</v>
      </c>
      <c r="D50" s="33">
        <v>12.82209443</v>
      </c>
      <c r="E50" s="30"/>
      <c r="F50" s="30"/>
      <c r="G50" s="30"/>
      <c r="H50" s="34">
        <f t="shared" si="1"/>
        <v>27.318936998000002</v>
      </c>
    </row>
    <row r="51" spans="1:8" x14ac:dyDescent="0.25">
      <c r="A51" s="15" t="s">
        <v>42</v>
      </c>
      <c r="B51" s="30"/>
      <c r="C51" s="33">
        <v>602.65770876850002</v>
      </c>
      <c r="D51" s="33">
        <v>130.74610279999999</v>
      </c>
      <c r="E51" s="30"/>
      <c r="F51" s="30"/>
      <c r="G51" s="30"/>
      <c r="H51" s="34">
        <f t="shared" si="1"/>
        <v>733.40381156850003</v>
      </c>
    </row>
    <row r="52" spans="1:8" ht="13" thickBot="1" x14ac:dyDescent="0.3">
      <c r="A52" s="15" t="s">
        <v>44</v>
      </c>
      <c r="B52" s="33"/>
      <c r="C52" s="33">
        <v>6.4148231559999997</v>
      </c>
      <c r="D52" s="33"/>
      <c r="E52" s="30"/>
      <c r="F52" s="30"/>
      <c r="G52" s="30"/>
      <c r="H52" s="34">
        <f t="shared" si="1"/>
        <v>6.4148231559999997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pageSetUpPr fitToPage="1"/>
  </sheetPr>
  <dimension ref="A1:H53"/>
  <sheetViews>
    <sheetView topLeftCell="A10" workbookViewId="0">
      <selection activeCell="B38" sqref="B38:D45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61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38819.324405334017</v>
      </c>
      <c r="C7" s="203">
        <f t="shared" ref="C7:G7" si="0">SUM(C8,C18,C27,C37,C47,C53)</f>
        <v>7292.775250992996</v>
      </c>
      <c r="D7" s="203">
        <f t="shared" si="0"/>
        <v>1491.8328320240853</v>
      </c>
      <c r="E7" s="203">
        <f t="shared" si="0"/>
        <v>3205.0703573954752</v>
      </c>
      <c r="F7" s="203">
        <f t="shared" si="0"/>
        <v>4.16580883E-2</v>
      </c>
      <c r="G7" s="203">
        <f t="shared" si="0"/>
        <v>32.011705052500005</v>
      </c>
      <c r="H7" s="204">
        <f>SUM(B7:G7)</f>
        <v>50841.056208887378</v>
      </c>
    </row>
    <row r="8" spans="1:8" ht="13" thickTop="1" x14ac:dyDescent="0.25">
      <c r="A8" s="14" t="s">
        <v>5</v>
      </c>
      <c r="B8" s="25">
        <f>SUM(B9,B15)</f>
        <v>32814.155294961107</v>
      </c>
      <c r="C8" s="25">
        <f>SUM(C9,C15)</f>
        <v>449.94351847299612</v>
      </c>
      <c r="D8" s="25">
        <f>SUM(D9,D15)</f>
        <v>206.28599518908518</v>
      </c>
      <c r="E8" s="26"/>
      <c r="F8" s="26"/>
      <c r="G8" s="27"/>
      <c r="H8" s="28">
        <f t="shared" ref="H8:H53" si="1">SUM(B8:G8)</f>
        <v>33470.384808623188</v>
      </c>
    </row>
    <row r="9" spans="1:8" x14ac:dyDescent="0.25">
      <c r="A9" s="15" t="s">
        <v>6</v>
      </c>
      <c r="B9" s="29">
        <f>SUM(B10:B14)</f>
        <v>32769.431433334285</v>
      </c>
      <c r="C9" s="29">
        <f>SUM(C10:C14)</f>
        <v>343.95508545072306</v>
      </c>
      <c r="D9" s="29">
        <f>SUM(D10:D14)</f>
        <v>206.21590073954479</v>
      </c>
      <c r="E9" s="30"/>
      <c r="F9" s="30"/>
      <c r="G9" s="30"/>
      <c r="H9" s="31">
        <f t="shared" si="1"/>
        <v>33319.602419524555</v>
      </c>
    </row>
    <row r="10" spans="1:8" x14ac:dyDescent="0.25">
      <c r="A10" s="32" t="s">
        <v>7</v>
      </c>
      <c r="B10" s="33">
        <v>4068.5921060381897</v>
      </c>
      <c r="C10" s="33">
        <v>2.4786281492008584</v>
      </c>
      <c r="D10" s="33">
        <v>18.541961982463921</v>
      </c>
      <c r="E10" s="30"/>
      <c r="F10" s="30"/>
      <c r="G10" s="30"/>
      <c r="H10" s="34">
        <f t="shared" si="1"/>
        <v>4089.6126961698542</v>
      </c>
    </row>
    <row r="11" spans="1:8" x14ac:dyDescent="0.25">
      <c r="A11" s="32" t="s">
        <v>8</v>
      </c>
      <c r="B11" s="33">
        <v>9898.2549579609567</v>
      </c>
      <c r="C11" s="33">
        <v>170.95783491185932</v>
      </c>
      <c r="D11" s="33">
        <v>31.141735957718961</v>
      </c>
      <c r="E11" s="30"/>
      <c r="F11" s="30"/>
      <c r="G11" s="30"/>
      <c r="H11" s="34">
        <f t="shared" si="1"/>
        <v>10100.354528830536</v>
      </c>
    </row>
    <row r="12" spans="1:8" x14ac:dyDescent="0.25">
      <c r="A12" s="32" t="s">
        <v>9</v>
      </c>
      <c r="B12" s="33">
        <v>13810.46641833514</v>
      </c>
      <c r="C12" s="35">
        <v>54.717370389662854</v>
      </c>
      <c r="D12" s="33">
        <v>132.23496229936191</v>
      </c>
      <c r="E12" s="30"/>
      <c r="F12" s="30"/>
      <c r="G12" s="30"/>
      <c r="H12" s="34">
        <f t="shared" si="1"/>
        <v>13997.418751024165</v>
      </c>
    </row>
    <row r="13" spans="1:8" x14ac:dyDescent="0.25">
      <c r="A13" s="32" t="s">
        <v>10</v>
      </c>
      <c r="B13" s="33">
        <v>4933.7465440000005</v>
      </c>
      <c r="C13" s="33">
        <v>115.75652435200001</v>
      </c>
      <c r="D13" s="33">
        <v>23.870327090000004</v>
      </c>
      <c r="E13" s="30"/>
      <c r="F13" s="30"/>
      <c r="G13" s="30"/>
      <c r="H13" s="34">
        <f t="shared" si="1"/>
        <v>5073.3733954420004</v>
      </c>
    </row>
    <row r="14" spans="1:8" x14ac:dyDescent="0.25">
      <c r="A14" s="32" t="s">
        <v>11</v>
      </c>
      <c r="B14" s="33">
        <v>58.371406999999998</v>
      </c>
      <c r="C14" s="33">
        <v>4.4727648000000002E-2</v>
      </c>
      <c r="D14" s="33">
        <v>0.42691340999999999</v>
      </c>
      <c r="E14" s="30"/>
      <c r="F14" s="30"/>
      <c r="G14" s="30"/>
      <c r="H14" s="34">
        <f t="shared" si="1"/>
        <v>58.843048057999994</v>
      </c>
    </row>
    <row r="15" spans="1:8" x14ac:dyDescent="0.25">
      <c r="A15" s="15" t="s">
        <v>12</v>
      </c>
      <c r="B15" s="33">
        <f>SUM(B16:B17)</f>
        <v>44.723861626823819</v>
      </c>
      <c r="C15" s="33">
        <f>SUM(C16:C17)</f>
        <v>105.98843302227306</v>
      </c>
      <c r="D15" s="33">
        <f>SUM(D16:D17)</f>
        <v>7.0094449540382395E-2</v>
      </c>
      <c r="E15" s="30"/>
      <c r="F15" s="30"/>
      <c r="G15" s="30"/>
      <c r="H15" s="34">
        <f t="shared" si="1"/>
        <v>150.78238909863725</v>
      </c>
    </row>
    <row r="16" spans="1:8" x14ac:dyDescent="0.25">
      <c r="A16" s="32" t="s">
        <v>13</v>
      </c>
      <c r="B16" s="33"/>
      <c r="C16" s="33">
        <v>36.938308679999999</v>
      </c>
      <c r="D16" s="33"/>
      <c r="E16" s="30"/>
      <c r="F16" s="30"/>
      <c r="G16" s="30"/>
      <c r="H16" s="34">
        <f t="shared" si="1"/>
        <v>36.938308679999999</v>
      </c>
    </row>
    <row r="17" spans="1:8" ht="13" thickBot="1" x14ac:dyDescent="0.3">
      <c r="A17" s="36" t="s">
        <v>14</v>
      </c>
      <c r="B17" s="37">
        <v>44.723861626823819</v>
      </c>
      <c r="C17" s="37">
        <v>69.050124342273051</v>
      </c>
      <c r="D17" s="37">
        <v>7.0094449540382395E-2</v>
      </c>
      <c r="E17" s="38"/>
      <c r="F17" s="38"/>
      <c r="G17" s="38"/>
      <c r="H17" s="39">
        <f t="shared" si="1"/>
        <v>113.84408041863725</v>
      </c>
    </row>
    <row r="18" spans="1:8" x14ac:dyDescent="0.25">
      <c r="A18" s="14" t="s">
        <v>15</v>
      </c>
      <c r="B18" s="40">
        <f t="shared" ref="B18:G18" si="2">SUM(B19:B26)</f>
        <v>5986.2966063729091</v>
      </c>
      <c r="C18" s="40">
        <f t="shared" si="2"/>
        <v>92.801961840000004</v>
      </c>
      <c r="D18" s="40">
        <f t="shared" si="2"/>
        <v>122.81782643999999</v>
      </c>
      <c r="E18" s="40">
        <f t="shared" si="2"/>
        <v>3205.0703573954752</v>
      </c>
      <c r="F18" s="40">
        <f t="shared" si="2"/>
        <v>4.16580883E-2</v>
      </c>
      <c r="G18" s="41">
        <f t="shared" si="2"/>
        <v>32.011705052500005</v>
      </c>
      <c r="H18" s="28">
        <f t="shared" si="1"/>
        <v>9439.0401151891856</v>
      </c>
    </row>
    <row r="19" spans="1:8" x14ac:dyDescent="0.25">
      <c r="A19" s="15" t="s">
        <v>16</v>
      </c>
      <c r="B19" s="29">
        <v>4306.3796512569634</v>
      </c>
      <c r="C19" s="29"/>
      <c r="D19" s="29"/>
      <c r="E19" s="42"/>
      <c r="F19" s="42"/>
      <c r="G19" s="42"/>
      <c r="H19" s="31">
        <f t="shared" si="1"/>
        <v>4306.3796512569634</v>
      </c>
    </row>
    <row r="20" spans="1:8" x14ac:dyDescent="0.25">
      <c r="A20" s="15" t="s">
        <v>17</v>
      </c>
      <c r="B20" s="33">
        <v>1570.5442079751454</v>
      </c>
      <c r="C20" s="33">
        <v>92.801961840000004</v>
      </c>
      <c r="D20" s="33">
        <v>22.630787999999999</v>
      </c>
      <c r="E20" s="33">
        <v>2403.4125792360001</v>
      </c>
      <c r="F20" s="33"/>
      <c r="G20" s="33"/>
      <c r="H20" s="34">
        <f t="shared" si="1"/>
        <v>4089.3895370511455</v>
      </c>
    </row>
    <row r="21" spans="1:8" x14ac:dyDescent="0.25">
      <c r="A21" s="15" t="s">
        <v>18</v>
      </c>
      <c r="B21" s="33">
        <v>41.1864551408</v>
      </c>
      <c r="C21" s="33"/>
      <c r="D21" s="33"/>
      <c r="E21" s="30"/>
      <c r="F21" s="33"/>
      <c r="G21" s="43"/>
      <c r="H21" s="34">
        <f t="shared" si="1"/>
        <v>41.1864551408</v>
      </c>
    </row>
    <row r="22" spans="1:8" x14ac:dyDescent="0.25">
      <c r="A22" s="15" t="s">
        <v>32</v>
      </c>
      <c r="B22" s="33">
        <v>68.186291999999995</v>
      </c>
      <c r="C22" s="33"/>
      <c r="D22" s="33"/>
      <c r="E22" s="30"/>
      <c r="F22" s="30"/>
      <c r="G22" s="30"/>
      <c r="H22" s="34">
        <f t="shared" si="1"/>
        <v>68.186291999999995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801.6577781594749</v>
      </c>
      <c r="F24" s="33">
        <v>4.16580883E-2</v>
      </c>
      <c r="G24" s="33"/>
      <c r="H24" s="34">
        <f t="shared" si="1"/>
        <v>801.69943624777488</v>
      </c>
    </row>
    <row r="25" spans="1:8" x14ac:dyDescent="0.25">
      <c r="A25" s="15" t="s">
        <v>34</v>
      </c>
      <c r="B25" s="33"/>
      <c r="C25" s="33"/>
      <c r="D25" s="33">
        <v>100.18703843999999</v>
      </c>
      <c r="E25" s="33"/>
      <c r="F25" s="33"/>
      <c r="G25" s="33">
        <v>32.011705052500005</v>
      </c>
      <c r="H25" s="34">
        <f t="shared" si="1"/>
        <v>132.1987434925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14.700485</v>
      </c>
      <c r="C27" s="40">
        <f>SUM(C28:C36)</f>
        <v>3964.6195533279997</v>
      </c>
      <c r="D27" s="40">
        <f>SUM(D28:D36)</f>
        <v>1019.9883591400001</v>
      </c>
      <c r="E27" s="45"/>
      <c r="F27" s="45"/>
      <c r="G27" s="46"/>
      <c r="H27" s="28">
        <f t="shared" si="1"/>
        <v>4999.3083974679994</v>
      </c>
    </row>
    <row r="28" spans="1:8" x14ac:dyDescent="0.25">
      <c r="A28" s="15" t="s">
        <v>19</v>
      </c>
      <c r="B28" s="42"/>
      <c r="C28" s="29">
        <v>1508.4367001199998</v>
      </c>
      <c r="D28" s="47"/>
      <c r="E28" s="30"/>
      <c r="F28" s="30"/>
      <c r="G28" s="30"/>
      <c r="H28" s="31">
        <f t="shared" si="1"/>
        <v>1508.4367001199998</v>
      </c>
    </row>
    <row r="29" spans="1:8" x14ac:dyDescent="0.25">
      <c r="A29" s="15" t="s">
        <v>20</v>
      </c>
      <c r="B29" s="30"/>
      <c r="C29" s="33">
        <v>2337.9747133119999</v>
      </c>
      <c r="D29" s="33">
        <v>469.53017284500004</v>
      </c>
      <c r="E29" s="30"/>
      <c r="F29" s="30"/>
      <c r="G29" s="30"/>
      <c r="H29" s="34">
        <f t="shared" si="1"/>
        <v>2807.5048861569999</v>
      </c>
    </row>
    <row r="30" spans="1:8" x14ac:dyDescent="0.25">
      <c r="A30" s="15" t="s">
        <v>21</v>
      </c>
      <c r="B30" s="30"/>
      <c r="C30" s="33">
        <v>117.898993324</v>
      </c>
      <c r="D30" s="48"/>
      <c r="E30" s="30"/>
      <c r="F30" s="30"/>
      <c r="G30" s="30"/>
      <c r="H30" s="34">
        <f t="shared" si="1"/>
        <v>117.898993324</v>
      </c>
    </row>
    <row r="31" spans="1:8" x14ac:dyDescent="0.25">
      <c r="A31" s="15" t="s">
        <v>22</v>
      </c>
      <c r="B31" s="49"/>
      <c r="C31" s="33"/>
      <c r="D31" s="33">
        <v>550.38233084000001</v>
      </c>
      <c r="E31" s="30"/>
      <c r="F31" s="30"/>
      <c r="G31" s="30"/>
      <c r="H31" s="34">
        <f t="shared" si="1"/>
        <v>550.38233084000001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0.30914657200000001</v>
      </c>
      <c r="D33" s="33">
        <v>7.5855454999999988E-2</v>
      </c>
      <c r="E33" s="30"/>
      <c r="F33" s="30"/>
      <c r="G33" s="30"/>
      <c r="H33" s="34">
        <f t="shared" si="1"/>
        <v>0.38500202699999997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12.625188000000001</v>
      </c>
      <c r="C35" s="50"/>
      <c r="D35" s="50"/>
      <c r="E35" s="51"/>
      <c r="F35" s="51"/>
      <c r="G35" s="51"/>
      <c r="H35" s="52">
        <f t="shared" si="1"/>
        <v>12.625188000000001</v>
      </c>
    </row>
    <row r="36" spans="1:8" ht="13" thickBot="1" x14ac:dyDescent="0.3">
      <c r="A36" s="16" t="s">
        <v>48</v>
      </c>
      <c r="B36" s="37">
        <v>2.0752969999999999</v>
      </c>
      <c r="C36" s="37"/>
      <c r="D36" s="37"/>
      <c r="E36" s="38"/>
      <c r="F36" s="38"/>
      <c r="G36" s="38"/>
      <c r="H36" s="39">
        <f t="shared" si="1"/>
        <v>2.0752969999999999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4.1720189999999997</v>
      </c>
      <c r="C47" s="40">
        <f>SUM(C48:C52)</f>
        <v>2785.410217352</v>
      </c>
      <c r="D47" s="40">
        <f>SUM(D48:D52)</f>
        <v>142.74065125499999</v>
      </c>
      <c r="E47" s="45"/>
      <c r="F47" s="45"/>
      <c r="G47" s="46"/>
      <c r="H47" s="53">
        <f t="shared" si="1"/>
        <v>2932.3228876070002</v>
      </c>
    </row>
    <row r="48" spans="1:8" x14ac:dyDescent="0.25">
      <c r="A48" s="15" t="s">
        <v>24</v>
      </c>
      <c r="B48" s="29"/>
      <c r="C48" s="29">
        <v>2132.5116282960003</v>
      </c>
      <c r="D48" s="29"/>
      <c r="E48" s="30"/>
      <c r="F48" s="30"/>
      <c r="G48" s="30"/>
      <c r="H48" s="31">
        <f t="shared" si="1"/>
        <v>2132.5116282960003</v>
      </c>
    </row>
    <row r="49" spans="1:8" x14ac:dyDescent="0.25">
      <c r="A49" s="15" t="s">
        <v>43</v>
      </c>
      <c r="B49" s="29"/>
      <c r="C49" s="29">
        <v>4.2276497759999998</v>
      </c>
      <c r="D49" s="29">
        <v>2.40070125</v>
      </c>
      <c r="E49" s="30"/>
      <c r="F49" s="30"/>
      <c r="G49" s="30"/>
      <c r="H49" s="31">
        <f t="shared" si="1"/>
        <v>6.6283510259999998</v>
      </c>
    </row>
    <row r="50" spans="1:8" x14ac:dyDescent="0.25">
      <c r="A50" s="15" t="s">
        <v>25</v>
      </c>
      <c r="B50" s="33">
        <v>4.1720189999999997</v>
      </c>
      <c r="C50" s="33">
        <v>15.344066919999999</v>
      </c>
      <c r="D50" s="33">
        <v>16.650998604999998</v>
      </c>
      <c r="E50" s="30"/>
      <c r="F50" s="30"/>
      <c r="G50" s="30"/>
      <c r="H50" s="34">
        <f t="shared" si="1"/>
        <v>36.167084524999993</v>
      </c>
    </row>
    <row r="51" spans="1:8" x14ac:dyDescent="0.25">
      <c r="A51" s="15" t="s">
        <v>42</v>
      </c>
      <c r="B51" s="30"/>
      <c r="C51" s="33">
        <v>626.78877867199992</v>
      </c>
      <c r="D51" s="33">
        <v>123.68895139999999</v>
      </c>
      <c r="E51" s="30"/>
      <c r="F51" s="30"/>
      <c r="G51" s="30"/>
      <c r="H51" s="34">
        <f t="shared" si="1"/>
        <v>750.47773007199987</v>
      </c>
    </row>
    <row r="52" spans="1:8" ht="13" thickBot="1" x14ac:dyDescent="0.3">
      <c r="A52" s="15" t="s">
        <v>44</v>
      </c>
      <c r="B52" s="33"/>
      <c r="C52" s="33">
        <v>6.5380936880000009</v>
      </c>
      <c r="D52" s="33"/>
      <c r="E52" s="30"/>
      <c r="F52" s="30"/>
      <c r="G52" s="30"/>
      <c r="H52" s="34">
        <f t="shared" si="1"/>
        <v>6.5380936880000009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pageSetUpPr fitToPage="1"/>
  </sheetPr>
  <dimension ref="A1:H53"/>
  <sheetViews>
    <sheetView topLeftCell="A16"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60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37658.330009663718</v>
      </c>
      <c r="C7" s="203">
        <f t="shared" ref="C7:G7" si="0">SUM(C8,C18,C27,C37,C47,C53)</f>
        <v>7416.1860019408923</v>
      </c>
      <c r="D7" s="203">
        <f t="shared" si="0"/>
        <v>1514.287292682229</v>
      </c>
      <c r="E7" s="203">
        <f t="shared" si="0"/>
        <v>5912.346858615062</v>
      </c>
      <c r="F7" s="203">
        <f t="shared" si="0"/>
        <v>4.2601574800000007E-2</v>
      </c>
      <c r="G7" s="203">
        <f t="shared" si="0"/>
        <v>33.699471457000001</v>
      </c>
      <c r="H7" s="204">
        <f>SUM(B7:G7)</f>
        <v>52534.892235933708</v>
      </c>
    </row>
    <row r="8" spans="1:8" ht="13" thickTop="1" x14ac:dyDescent="0.25">
      <c r="A8" s="14" t="s">
        <v>5</v>
      </c>
      <c r="B8" s="25">
        <f>SUM(B9,B15)</f>
        <v>31810.467286220341</v>
      </c>
      <c r="C8" s="25">
        <f>SUM(C9,C15)</f>
        <v>440.88488004206283</v>
      </c>
      <c r="D8" s="25">
        <f>SUM(D9,D15)</f>
        <v>229.54041240722901</v>
      </c>
      <c r="E8" s="26"/>
      <c r="F8" s="26"/>
      <c r="G8" s="27"/>
      <c r="H8" s="28">
        <f t="shared" ref="H8:H53" si="1">SUM(B8:G8)</f>
        <v>32480.892578669635</v>
      </c>
    </row>
    <row r="9" spans="1:8" x14ac:dyDescent="0.25">
      <c r="A9" s="15" t="s">
        <v>6</v>
      </c>
      <c r="B9" s="29">
        <f>SUM(B10:B14)</f>
        <v>31770.876241449194</v>
      </c>
      <c r="C9" s="29">
        <f>SUM(C10:C14)</f>
        <v>331.3198638654768</v>
      </c>
      <c r="D9" s="29">
        <f>SUM(D10:D14)</f>
        <v>229.49411425063477</v>
      </c>
      <c r="E9" s="30"/>
      <c r="F9" s="30"/>
      <c r="G9" s="30"/>
      <c r="H9" s="31">
        <f t="shared" si="1"/>
        <v>32331.690219565306</v>
      </c>
    </row>
    <row r="10" spans="1:8" x14ac:dyDescent="0.25">
      <c r="A10" s="32" t="s">
        <v>7</v>
      </c>
      <c r="B10" s="33">
        <v>4067.6839127481867</v>
      </c>
      <c r="C10" s="33">
        <v>2.4922543581429046</v>
      </c>
      <c r="D10" s="33">
        <v>18.130889101644314</v>
      </c>
      <c r="E10" s="30"/>
      <c r="F10" s="30"/>
      <c r="G10" s="30"/>
      <c r="H10" s="34">
        <f t="shared" si="1"/>
        <v>4088.3070562079738</v>
      </c>
    </row>
    <row r="11" spans="1:8" x14ac:dyDescent="0.25">
      <c r="A11" s="32" t="s">
        <v>8</v>
      </c>
      <c r="B11" s="33">
        <v>9698.5315112986991</v>
      </c>
      <c r="C11" s="33">
        <v>158.00049032374272</v>
      </c>
      <c r="D11" s="33">
        <v>31.25585473433814</v>
      </c>
      <c r="E11" s="30"/>
      <c r="F11" s="30"/>
      <c r="G11" s="30"/>
      <c r="H11" s="34">
        <f t="shared" si="1"/>
        <v>9887.7878563567792</v>
      </c>
    </row>
    <row r="12" spans="1:8" x14ac:dyDescent="0.25">
      <c r="A12" s="32" t="s">
        <v>9</v>
      </c>
      <c r="B12" s="33">
        <v>13281.690010402306</v>
      </c>
      <c r="C12" s="35">
        <v>56.375395531591252</v>
      </c>
      <c r="D12" s="33">
        <v>156.31655127465231</v>
      </c>
      <c r="E12" s="30"/>
      <c r="F12" s="30"/>
      <c r="G12" s="30"/>
      <c r="H12" s="34">
        <f t="shared" si="1"/>
        <v>13494.38195720855</v>
      </c>
    </row>
    <row r="13" spans="1:8" x14ac:dyDescent="0.25">
      <c r="A13" s="32" t="s">
        <v>10</v>
      </c>
      <c r="B13" s="33">
        <v>4666.6757859999998</v>
      </c>
      <c r="C13" s="33">
        <v>114.41018584799998</v>
      </c>
      <c r="D13" s="33">
        <v>23.37521911</v>
      </c>
      <c r="E13" s="30"/>
      <c r="F13" s="30"/>
      <c r="G13" s="30"/>
      <c r="H13" s="34">
        <f t="shared" si="1"/>
        <v>4804.4611909579999</v>
      </c>
    </row>
    <row r="14" spans="1:8" x14ac:dyDescent="0.25">
      <c r="A14" s="32" t="s">
        <v>11</v>
      </c>
      <c r="B14" s="33">
        <v>56.295021000000006</v>
      </c>
      <c r="C14" s="33">
        <v>4.1537803999999998E-2</v>
      </c>
      <c r="D14" s="33">
        <v>0.41560003000000001</v>
      </c>
      <c r="E14" s="30"/>
      <c r="F14" s="30"/>
      <c r="G14" s="30"/>
      <c r="H14" s="34">
        <f t="shared" si="1"/>
        <v>56.752158834000006</v>
      </c>
    </row>
    <row r="15" spans="1:8" x14ac:dyDescent="0.25">
      <c r="A15" s="15" t="s">
        <v>12</v>
      </c>
      <c r="B15" s="33">
        <f>SUM(B16:B17)</f>
        <v>39.591044771145086</v>
      </c>
      <c r="C15" s="33">
        <f>SUM(C16:C17)</f>
        <v>109.56501617658606</v>
      </c>
      <c r="D15" s="33">
        <f>SUM(D16:D17)</f>
        <v>4.62981565942494E-2</v>
      </c>
      <c r="E15" s="30"/>
      <c r="F15" s="30"/>
      <c r="G15" s="30"/>
      <c r="H15" s="34">
        <f t="shared" si="1"/>
        <v>149.20235910432538</v>
      </c>
    </row>
    <row r="16" spans="1:8" x14ac:dyDescent="0.25">
      <c r="A16" s="32" t="s">
        <v>13</v>
      </c>
      <c r="B16" s="33"/>
      <c r="C16" s="33">
        <v>38.774115379999998</v>
      </c>
      <c r="D16" s="33"/>
      <c r="E16" s="30"/>
      <c r="F16" s="30"/>
      <c r="G16" s="30"/>
      <c r="H16" s="34">
        <f t="shared" si="1"/>
        <v>38.774115379999998</v>
      </c>
    </row>
    <row r="17" spans="1:8" ht="13" thickBot="1" x14ac:dyDescent="0.3">
      <c r="A17" s="36" t="s">
        <v>14</v>
      </c>
      <c r="B17" s="37">
        <v>39.591044771145086</v>
      </c>
      <c r="C17" s="37">
        <v>70.790900796586058</v>
      </c>
      <c r="D17" s="37">
        <v>4.62981565942494E-2</v>
      </c>
      <c r="E17" s="38"/>
      <c r="F17" s="38"/>
      <c r="G17" s="38"/>
      <c r="H17" s="39">
        <f t="shared" si="1"/>
        <v>110.4282437243254</v>
      </c>
    </row>
    <row r="18" spans="1:8" x14ac:dyDescent="0.25">
      <c r="A18" s="14" t="s">
        <v>15</v>
      </c>
      <c r="B18" s="40">
        <f t="shared" ref="B18:G18" si="2">SUM(B19:B26)</f>
        <v>5825.071663443372</v>
      </c>
      <c r="C18" s="40">
        <f t="shared" si="2"/>
        <v>90.865328047830076</v>
      </c>
      <c r="D18" s="40">
        <f t="shared" si="2"/>
        <v>118.11786885500001</v>
      </c>
      <c r="E18" s="40">
        <f t="shared" si="2"/>
        <v>5912.346858615062</v>
      </c>
      <c r="F18" s="40">
        <f t="shared" si="2"/>
        <v>4.2601574800000007E-2</v>
      </c>
      <c r="G18" s="41">
        <f t="shared" si="2"/>
        <v>33.699471457000001</v>
      </c>
      <c r="H18" s="28">
        <f t="shared" si="1"/>
        <v>11980.143791993063</v>
      </c>
    </row>
    <row r="19" spans="1:8" x14ac:dyDescent="0.25">
      <c r="A19" s="15" t="s">
        <v>16</v>
      </c>
      <c r="B19" s="29">
        <v>4168.281036983888</v>
      </c>
      <c r="C19" s="29"/>
      <c r="D19" s="29"/>
      <c r="E19" s="42"/>
      <c r="F19" s="42"/>
      <c r="G19" s="42"/>
      <c r="H19" s="31">
        <f t="shared" si="1"/>
        <v>4168.281036983888</v>
      </c>
    </row>
    <row r="20" spans="1:8" x14ac:dyDescent="0.25">
      <c r="A20" s="15" t="s">
        <v>17</v>
      </c>
      <c r="B20" s="33">
        <v>1547.8248034594847</v>
      </c>
      <c r="C20" s="33">
        <v>90.865328047830076</v>
      </c>
      <c r="D20" s="33">
        <v>25.744644000000001</v>
      </c>
      <c r="E20" s="33">
        <v>5278.1353492159997</v>
      </c>
      <c r="F20" s="33"/>
      <c r="G20" s="33"/>
      <c r="H20" s="34">
        <f t="shared" si="1"/>
        <v>6942.5701247233146</v>
      </c>
    </row>
    <row r="21" spans="1:8" x14ac:dyDescent="0.25">
      <c r="A21" s="15" t="s">
        <v>18</v>
      </c>
      <c r="B21" s="33">
        <v>37.648879999999998</v>
      </c>
      <c r="C21" s="33"/>
      <c r="D21" s="33"/>
      <c r="E21" s="30"/>
      <c r="F21" s="33"/>
      <c r="G21" s="43"/>
      <c r="H21" s="34">
        <f t="shared" si="1"/>
        <v>37.648879999999998</v>
      </c>
    </row>
    <row r="22" spans="1:8" x14ac:dyDescent="0.25">
      <c r="A22" s="15" t="s">
        <v>32</v>
      </c>
      <c r="B22" s="33">
        <v>71.316942999999995</v>
      </c>
      <c r="C22" s="33"/>
      <c r="D22" s="33"/>
      <c r="E22" s="30"/>
      <c r="F22" s="30"/>
      <c r="G22" s="30"/>
      <c r="H22" s="34">
        <f t="shared" si="1"/>
        <v>71.316942999999995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634.21150939906227</v>
      </c>
      <c r="F24" s="33">
        <v>4.2601574800000007E-2</v>
      </c>
      <c r="G24" s="33"/>
      <c r="H24" s="34">
        <f t="shared" si="1"/>
        <v>634.25411097386223</v>
      </c>
    </row>
    <row r="25" spans="1:8" x14ac:dyDescent="0.25">
      <c r="A25" s="15" t="s">
        <v>34</v>
      </c>
      <c r="B25" s="33"/>
      <c r="C25" s="33"/>
      <c r="D25" s="33">
        <v>92.373224855000004</v>
      </c>
      <c r="E25" s="33"/>
      <c r="F25" s="33"/>
      <c r="G25" s="33">
        <v>33.699471457000001</v>
      </c>
      <c r="H25" s="34">
        <f t="shared" si="1"/>
        <v>126.07269631200001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18.839046</v>
      </c>
      <c r="C27" s="40">
        <f>SUM(C28:C36)</f>
        <v>4093.7971400199995</v>
      </c>
      <c r="D27" s="40">
        <f>SUM(D28:D36)</f>
        <v>1032.3422173849999</v>
      </c>
      <c r="E27" s="45"/>
      <c r="F27" s="45"/>
      <c r="G27" s="46"/>
      <c r="H27" s="28">
        <f t="shared" si="1"/>
        <v>5144.978403404999</v>
      </c>
    </row>
    <row r="28" spans="1:8" x14ac:dyDescent="0.25">
      <c r="A28" s="15" t="s">
        <v>19</v>
      </c>
      <c r="B28" s="42"/>
      <c r="C28" s="29">
        <v>1531.5510796879998</v>
      </c>
      <c r="D28" s="47"/>
      <c r="E28" s="30"/>
      <c r="F28" s="30"/>
      <c r="G28" s="30"/>
      <c r="H28" s="31">
        <f t="shared" si="1"/>
        <v>1531.5510796879998</v>
      </c>
    </row>
    <row r="29" spans="1:8" x14ac:dyDescent="0.25">
      <c r="A29" s="15" t="s">
        <v>20</v>
      </c>
      <c r="B29" s="30"/>
      <c r="C29" s="33">
        <v>2437.6683076479999</v>
      </c>
      <c r="D29" s="33">
        <v>454.198769035</v>
      </c>
      <c r="E29" s="30"/>
      <c r="F29" s="30"/>
      <c r="G29" s="30"/>
      <c r="H29" s="34">
        <f t="shared" si="1"/>
        <v>2891.8670766830001</v>
      </c>
    </row>
    <row r="30" spans="1:8" x14ac:dyDescent="0.25">
      <c r="A30" s="15" t="s">
        <v>21</v>
      </c>
      <c r="B30" s="30"/>
      <c r="C30" s="33">
        <v>117.871201392</v>
      </c>
      <c r="D30" s="48"/>
      <c r="E30" s="30"/>
      <c r="F30" s="30"/>
      <c r="G30" s="30"/>
      <c r="H30" s="34">
        <f t="shared" si="1"/>
        <v>117.871201392</v>
      </c>
    </row>
    <row r="31" spans="1:8" x14ac:dyDescent="0.25">
      <c r="A31" s="15" t="s">
        <v>22</v>
      </c>
      <c r="B31" s="49"/>
      <c r="C31" s="33"/>
      <c r="D31" s="33">
        <v>576.497859565</v>
      </c>
      <c r="E31" s="30"/>
      <c r="F31" s="30"/>
      <c r="G31" s="30"/>
      <c r="H31" s="34">
        <f t="shared" si="1"/>
        <v>576.497859565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6.7065512920000003</v>
      </c>
      <c r="D33" s="33">
        <v>1.6455887849999999</v>
      </c>
      <c r="E33" s="30"/>
      <c r="F33" s="30"/>
      <c r="G33" s="30"/>
      <c r="H33" s="34">
        <f t="shared" si="1"/>
        <v>8.3521400769999996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15.288891</v>
      </c>
      <c r="C35" s="50"/>
      <c r="D35" s="50"/>
      <c r="E35" s="51"/>
      <c r="F35" s="51"/>
      <c r="G35" s="51"/>
      <c r="H35" s="52">
        <f t="shared" si="1"/>
        <v>15.288891</v>
      </c>
    </row>
    <row r="36" spans="1:8" ht="13" thickBot="1" x14ac:dyDescent="0.3">
      <c r="A36" s="16" t="s">
        <v>48</v>
      </c>
      <c r="B36" s="37">
        <v>3.5501550000000002</v>
      </c>
      <c r="C36" s="37"/>
      <c r="D36" s="37"/>
      <c r="E36" s="38"/>
      <c r="F36" s="38"/>
      <c r="G36" s="38"/>
      <c r="H36" s="39">
        <f t="shared" si="1"/>
        <v>3.5501550000000002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3.9520140000000001</v>
      </c>
      <c r="C47" s="40">
        <f>SUM(C48:C52)</f>
        <v>2790.6386538310003</v>
      </c>
      <c r="D47" s="40">
        <f>SUM(D48:D52)</f>
        <v>134.28679403499999</v>
      </c>
      <c r="E47" s="45"/>
      <c r="F47" s="45"/>
      <c r="G47" s="46"/>
      <c r="H47" s="53">
        <f t="shared" si="1"/>
        <v>2928.8774618660004</v>
      </c>
    </row>
    <row r="48" spans="1:8" x14ac:dyDescent="0.25">
      <c r="A48" s="15" t="s">
        <v>24</v>
      </c>
      <c r="B48" s="29"/>
      <c r="C48" s="29">
        <v>2085.7752630680002</v>
      </c>
      <c r="D48" s="29"/>
      <c r="E48" s="30"/>
      <c r="F48" s="30"/>
      <c r="G48" s="30"/>
      <c r="H48" s="31">
        <f t="shared" si="1"/>
        <v>2085.7752630680002</v>
      </c>
    </row>
    <row r="49" spans="1:8" x14ac:dyDescent="0.25">
      <c r="A49" s="15" t="s">
        <v>43</v>
      </c>
      <c r="B49" s="29"/>
      <c r="C49" s="29">
        <v>2.5404109080000001</v>
      </c>
      <c r="D49" s="29">
        <v>1.4425903050000002</v>
      </c>
      <c r="E49" s="30"/>
      <c r="F49" s="30"/>
      <c r="G49" s="30"/>
      <c r="H49" s="31">
        <f t="shared" si="1"/>
        <v>3.9830012130000005</v>
      </c>
    </row>
    <row r="50" spans="1:8" x14ac:dyDescent="0.25">
      <c r="A50" s="15" t="s">
        <v>25</v>
      </c>
      <c r="B50" s="33">
        <v>3.9520140000000001</v>
      </c>
      <c r="C50" s="33">
        <v>10.866102044000002</v>
      </c>
      <c r="D50" s="33">
        <v>13.93059208</v>
      </c>
      <c r="E50" s="30"/>
      <c r="F50" s="30"/>
      <c r="G50" s="30"/>
      <c r="H50" s="34">
        <f t="shared" si="1"/>
        <v>28.748708124000004</v>
      </c>
    </row>
    <row r="51" spans="1:8" x14ac:dyDescent="0.25">
      <c r="A51" s="15" t="s">
        <v>42</v>
      </c>
      <c r="B51" s="30"/>
      <c r="C51" s="33">
        <v>684.85126971099999</v>
      </c>
      <c r="D51" s="33">
        <v>118.91361164999999</v>
      </c>
      <c r="E51" s="30"/>
      <c r="F51" s="30"/>
      <c r="G51" s="30"/>
      <c r="H51" s="34">
        <f t="shared" si="1"/>
        <v>803.76488136099999</v>
      </c>
    </row>
    <row r="52" spans="1:8" ht="13" thickBot="1" x14ac:dyDescent="0.3">
      <c r="A52" s="15" t="s">
        <v>44</v>
      </c>
      <c r="B52" s="33"/>
      <c r="C52" s="33">
        <v>6.6056081000000004</v>
      </c>
      <c r="D52" s="33"/>
      <c r="E52" s="30"/>
      <c r="F52" s="30"/>
      <c r="G52" s="30"/>
      <c r="H52" s="34">
        <f t="shared" si="1"/>
        <v>6.6056081000000004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pageSetUpPr fitToPage="1"/>
  </sheetPr>
  <dimension ref="A1:H53"/>
  <sheetViews>
    <sheetView topLeftCell="A10" workbookViewId="0">
      <selection activeCell="B38" sqref="B38:D45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59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37046.132469012533</v>
      </c>
      <c r="C7" s="203">
        <f t="shared" ref="C7:G7" si="0">SUM(C8,C18,C27,C37,C47,C53)</f>
        <v>7015.7149200735421</v>
      </c>
      <c r="D7" s="203">
        <f t="shared" si="0"/>
        <v>1528.9861527715605</v>
      </c>
      <c r="E7" s="203">
        <f t="shared" si="0"/>
        <v>5399.9028841935124</v>
      </c>
      <c r="F7" s="203">
        <f t="shared" si="0"/>
        <v>4.4478930299999997E-2</v>
      </c>
      <c r="G7" s="203">
        <f t="shared" si="0"/>
        <v>31.965440931500002</v>
      </c>
      <c r="H7" s="204">
        <f>SUM(B7:G7)</f>
        <v>51022.74634591295</v>
      </c>
    </row>
    <row r="8" spans="1:8" ht="13" thickTop="1" x14ac:dyDescent="0.25">
      <c r="A8" s="14" t="s">
        <v>5</v>
      </c>
      <c r="B8" s="25">
        <f>SUM(B9,B15)</f>
        <v>31230.494226879593</v>
      </c>
      <c r="C8" s="25">
        <f>SUM(C9,C15)</f>
        <v>436.55917541904103</v>
      </c>
      <c r="D8" s="25">
        <f>SUM(D9,D15)</f>
        <v>302.40994136656053</v>
      </c>
      <c r="E8" s="26"/>
      <c r="F8" s="26"/>
      <c r="G8" s="27"/>
      <c r="H8" s="28">
        <f t="shared" ref="H8:H53" si="1">SUM(B8:G8)</f>
        <v>31969.463343665197</v>
      </c>
    </row>
    <row r="9" spans="1:8" x14ac:dyDescent="0.25">
      <c r="A9" s="15" t="s">
        <v>6</v>
      </c>
      <c r="B9" s="29">
        <f>SUM(B10:B14)</f>
        <v>31186.295793954803</v>
      </c>
      <c r="C9" s="29">
        <f>SUM(C10:C14)</f>
        <v>321.03764356609258</v>
      </c>
      <c r="D9" s="29">
        <f>SUM(D10:D14)</f>
        <v>302.34848381142655</v>
      </c>
      <c r="E9" s="30"/>
      <c r="F9" s="30"/>
      <c r="G9" s="30"/>
      <c r="H9" s="31">
        <f t="shared" si="1"/>
        <v>31809.681921332322</v>
      </c>
    </row>
    <row r="10" spans="1:8" x14ac:dyDescent="0.25">
      <c r="A10" s="32" t="s">
        <v>7</v>
      </c>
      <c r="B10" s="33">
        <v>4091.6183409037612</v>
      </c>
      <c r="C10" s="33">
        <v>2.4131075632877463</v>
      </c>
      <c r="D10" s="33">
        <v>16.495526625798512</v>
      </c>
      <c r="E10" s="30"/>
      <c r="F10" s="30"/>
      <c r="G10" s="30"/>
      <c r="H10" s="34">
        <f t="shared" si="1"/>
        <v>4110.5269750928474</v>
      </c>
    </row>
    <row r="11" spans="1:8" x14ac:dyDescent="0.25">
      <c r="A11" s="32" t="s">
        <v>8</v>
      </c>
      <c r="B11" s="33">
        <v>9903.4832834415647</v>
      </c>
      <c r="C11" s="33">
        <v>143.73337056841484</v>
      </c>
      <c r="D11" s="33">
        <v>30.553504725344744</v>
      </c>
      <c r="E11" s="30"/>
      <c r="F11" s="30"/>
      <c r="G11" s="30"/>
      <c r="H11" s="34">
        <f t="shared" si="1"/>
        <v>10077.770158735324</v>
      </c>
    </row>
    <row r="12" spans="1:8" x14ac:dyDescent="0.25">
      <c r="A12" s="32" t="s">
        <v>9</v>
      </c>
      <c r="B12" s="33">
        <v>12918.183303609478</v>
      </c>
      <c r="C12" s="35">
        <v>61.739986874390056</v>
      </c>
      <c r="D12" s="33">
        <v>232.41390724028332</v>
      </c>
      <c r="E12" s="30"/>
      <c r="F12" s="30"/>
      <c r="G12" s="30"/>
      <c r="H12" s="34">
        <f t="shared" si="1"/>
        <v>13212.337197724151</v>
      </c>
    </row>
    <row r="13" spans="1:8" x14ac:dyDescent="0.25">
      <c r="A13" s="32" t="s">
        <v>10</v>
      </c>
      <c r="B13" s="33">
        <v>4217.6775969999999</v>
      </c>
      <c r="C13" s="33">
        <v>113.103409524</v>
      </c>
      <c r="D13" s="33">
        <v>22.469899345000002</v>
      </c>
      <c r="E13" s="30"/>
      <c r="F13" s="30"/>
      <c r="G13" s="30"/>
      <c r="H13" s="34">
        <f t="shared" si="1"/>
        <v>4353.2509058690002</v>
      </c>
    </row>
    <row r="14" spans="1:8" x14ac:dyDescent="0.25">
      <c r="A14" s="32" t="s">
        <v>11</v>
      </c>
      <c r="B14" s="33">
        <v>55.333269000000001</v>
      </c>
      <c r="C14" s="33">
        <v>4.7769036000000001E-2</v>
      </c>
      <c r="D14" s="33">
        <v>0.415645875</v>
      </c>
      <c r="E14" s="30"/>
      <c r="F14" s="30"/>
      <c r="G14" s="30"/>
      <c r="H14" s="34">
        <f t="shared" si="1"/>
        <v>55.796683911000002</v>
      </c>
    </row>
    <row r="15" spans="1:8" x14ac:dyDescent="0.25">
      <c r="A15" s="15" t="s">
        <v>12</v>
      </c>
      <c r="B15" s="33">
        <f>SUM(B16:B17)</f>
        <v>44.198432924790055</v>
      </c>
      <c r="C15" s="33">
        <f>SUM(C16:C17)</f>
        <v>115.52153185294847</v>
      </c>
      <c r="D15" s="33">
        <f>SUM(D16:D17)</f>
        <v>6.1457555133996603E-2</v>
      </c>
      <c r="E15" s="30"/>
      <c r="F15" s="30"/>
      <c r="G15" s="30"/>
      <c r="H15" s="34">
        <f t="shared" si="1"/>
        <v>159.78142233287252</v>
      </c>
    </row>
    <row r="16" spans="1:8" x14ac:dyDescent="0.25">
      <c r="A16" s="32" t="s">
        <v>13</v>
      </c>
      <c r="B16" s="33"/>
      <c r="C16" s="33">
        <v>42.306107480000001</v>
      </c>
      <c r="D16" s="33"/>
      <c r="E16" s="30"/>
      <c r="F16" s="30"/>
      <c r="G16" s="30"/>
      <c r="H16" s="34">
        <f t="shared" si="1"/>
        <v>42.306107480000001</v>
      </c>
    </row>
    <row r="17" spans="1:8" ht="13" thickBot="1" x14ac:dyDescent="0.3">
      <c r="A17" s="36" t="s">
        <v>14</v>
      </c>
      <c r="B17" s="37">
        <v>44.198432924790055</v>
      </c>
      <c r="C17" s="37">
        <v>73.215424372948476</v>
      </c>
      <c r="D17" s="37">
        <v>6.1457555133996603E-2</v>
      </c>
      <c r="E17" s="38"/>
      <c r="F17" s="38"/>
      <c r="G17" s="38"/>
      <c r="H17" s="39">
        <f t="shared" si="1"/>
        <v>117.47531485287253</v>
      </c>
    </row>
    <row r="18" spans="1:8" x14ac:dyDescent="0.25">
      <c r="A18" s="14" t="s">
        <v>15</v>
      </c>
      <c r="B18" s="40">
        <f t="shared" ref="B18:G18" si="2">SUM(B19:B26)</f>
        <v>5795.5716811329321</v>
      </c>
      <c r="C18" s="40">
        <f t="shared" si="2"/>
        <v>95.855717160000083</v>
      </c>
      <c r="D18" s="40">
        <f t="shared" si="2"/>
        <v>115.19078406</v>
      </c>
      <c r="E18" s="40">
        <f t="shared" si="2"/>
        <v>5399.9028841935124</v>
      </c>
      <c r="F18" s="40">
        <f t="shared" si="2"/>
        <v>4.4478930299999997E-2</v>
      </c>
      <c r="G18" s="41">
        <f t="shared" si="2"/>
        <v>31.965440931500002</v>
      </c>
      <c r="H18" s="28">
        <f t="shared" si="1"/>
        <v>11438.530986408245</v>
      </c>
    </row>
    <row r="19" spans="1:8" x14ac:dyDescent="0.25">
      <c r="A19" s="15" t="s">
        <v>16</v>
      </c>
      <c r="B19" s="29">
        <v>4080.3565172568365</v>
      </c>
      <c r="C19" s="29"/>
      <c r="D19" s="29"/>
      <c r="E19" s="42"/>
      <c r="F19" s="42"/>
      <c r="G19" s="42"/>
      <c r="H19" s="31">
        <f t="shared" si="1"/>
        <v>4080.3565172568365</v>
      </c>
    </row>
    <row r="20" spans="1:8" x14ac:dyDescent="0.25">
      <c r="A20" s="15" t="s">
        <v>17</v>
      </c>
      <c r="B20" s="33">
        <v>1610.0066538760952</v>
      </c>
      <c r="C20" s="33">
        <v>95.855717160000083</v>
      </c>
      <c r="D20" s="33">
        <v>20.853486</v>
      </c>
      <c r="E20" s="33">
        <v>4937.5423210028002</v>
      </c>
      <c r="F20" s="33"/>
      <c r="G20" s="33"/>
      <c r="H20" s="34">
        <f t="shared" si="1"/>
        <v>6664.2581780388955</v>
      </c>
    </row>
    <row r="21" spans="1:8" x14ac:dyDescent="0.25">
      <c r="A21" s="15" t="s">
        <v>18</v>
      </c>
      <c r="B21" s="33">
        <v>37.267620999999998</v>
      </c>
      <c r="C21" s="33"/>
      <c r="D21" s="33"/>
      <c r="E21" s="30"/>
      <c r="F21" s="33"/>
      <c r="G21" s="43"/>
      <c r="H21" s="34">
        <f t="shared" si="1"/>
        <v>37.267620999999998</v>
      </c>
    </row>
    <row r="22" spans="1:8" x14ac:dyDescent="0.25">
      <c r="A22" s="15" t="s">
        <v>32</v>
      </c>
      <c r="B22" s="33">
        <v>67.940888999999999</v>
      </c>
      <c r="C22" s="33"/>
      <c r="D22" s="33"/>
      <c r="E22" s="30"/>
      <c r="F22" s="30"/>
      <c r="G22" s="30"/>
      <c r="H22" s="34">
        <f t="shared" si="1"/>
        <v>67.940888999999999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462.36056319071196</v>
      </c>
      <c r="F24" s="33">
        <v>4.4478930299999997E-2</v>
      </c>
      <c r="G24" s="33"/>
      <c r="H24" s="34">
        <f t="shared" si="1"/>
        <v>462.40504212101195</v>
      </c>
    </row>
    <row r="25" spans="1:8" x14ac:dyDescent="0.25">
      <c r="A25" s="15" t="s">
        <v>34</v>
      </c>
      <c r="B25" s="33"/>
      <c r="C25" s="33"/>
      <c r="D25" s="33">
        <v>94.337298059999995</v>
      </c>
      <c r="E25" s="33"/>
      <c r="F25" s="33"/>
      <c r="G25" s="33">
        <v>31.965440931500002</v>
      </c>
      <c r="H25" s="34">
        <f t="shared" si="1"/>
        <v>126.30273899149999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16.288029999999999</v>
      </c>
      <c r="C27" s="40">
        <f>SUM(C28:C36)</f>
        <v>3664.9646048120003</v>
      </c>
      <c r="D27" s="40">
        <f>SUM(D28:D36)</f>
        <v>981.13261118000003</v>
      </c>
      <c r="E27" s="45"/>
      <c r="F27" s="45"/>
      <c r="G27" s="46"/>
      <c r="H27" s="28">
        <f t="shared" si="1"/>
        <v>4662.3852459920008</v>
      </c>
    </row>
    <row r="28" spans="1:8" x14ac:dyDescent="0.25">
      <c r="A28" s="15" t="s">
        <v>19</v>
      </c>
      <c r="B28" s="42"/>
      <c r="C28" s="29">
        <v>1383.9291792480001</v>
      </c>
      <c r="D28" s="47"/>
      <c r="E28" s="30"/>
      <c r="F28" s="30"/>
      <c r="G28" s="30"/>
      <c r="H28" s="31">
        <f t="shared" si="1"/>
        <v>1383.9291792480001</v>
      </c>
    </row>
    <row r="29" spans="1:8" x14ac:dyDescent="0.25">
      <c r="A29" s="15" t="s">
        <v>20</v>
      </c>
      <c r="B29" s="30"/>
      <c r="C29" s="33">
        <v>2130.3307288200003</v>
      </c>
      <c r="D29" s="33">
        <v>433.63864863500004</v>
      </c>
      <c r="E29" s="30"/>
      <c r="F29" s="30"/>
      <c r="G29" s="30"/>
      <c r="H29" s="34">
        <f t="shared" si="1"/>
        <v>2563.9693774550005</v>
      </c>
    </row>
    <row r="30" spans="1:8" x14ac:dyDescent="0.25">
      <c r="A30" s="15" t="s">
        <v>21</v>
      </c>
      <c r="B30" s="30"/>
      <c r="C30" s="33">
        <v>120.03341476000001</v>
      </c>
      <c r="D30" s="48"/>
      <c r="E30" s="30"/>
      <c r="F30" s="30"/>
      <c r="G30" s="30"/>
      <c r="H30" s="34">
        <f t="shared" si="1"/>
        <v>120.03341476000001</v>
      </c>
    </row>
    <row r="31" spans="1:8" x14ac:dyDescent="0.25">
      <c r="A31" s="15" t="s">
        <v>22</v>
      </c>
      <c r="B31" s="49"/>
      <c r="C31" s="33"/>
      <c r="D31" s="33">
        <v>539.96813850499996</v>
      </c>
      <c r="E31" s="30"/>
      <c r="F31" s="30"/>
      <c r="G31" s="30"/>
      <c r="H31" s="34">
        <f t="shared" si="1"/>
        <v>539.96813850499996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30.671281984</v>
      </c>
      <c r="D33" s="33">
        <v>7.5258240399999998</v>
      </c>
      <c r="E33" s="30"/>
      <c r="F33" s="30"/>
      <c r="G33" s="30"/>
      <c r="H33" s="34">
        <f t="shared" si="1"/>
        <v>38.197106024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13.023834000000001</v>
      </c>
      <c r="C35" s="50"/>
      <c r="D35" s="50"/>
      <c r="E35" s="51"/>
      <c r="F35" s="51"/>
      <c r="G35" s="51"/>
      <c r="H35" s="52">
        <f t="shared" si="1"/>
        <v>13.023834000000001</v>
      </c>
    </row>
    <row r="36" spans="1:8" ht="13" thickBot="1" x14ac:dyDescent="0.3">
      <c r="A36" s="16" t="s">
        <v>48</v>
      </c>
      <c r="B36" s="37">
        <v>3.2641960000000001</v>
      </c>
      <c r="C36" s="37"/>
      <c r="D36" s="37"/>
      <c r="E36" s="38"/>
      <c r="F36" s="38"/>
      <c r="G36" s="38"/>
      <c r="H36" s="39">
        <f t="shared" si="1"/>
        <v>3.2641960000000001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3.7785310000000001</v>
      </c>
      <c r="C47" s="40">
        <f>SUM(C48:C52)</f>
        <v>2818.3354226824999</v>
      </c>
      <c r="D47" s="40">
        <f>SUM(D48:D52)</f>
        <v>130.25281616500001</v>
      </c>
      <c r="E47" s="45"/>
      <c r="F47" s="45"/>
      <c r="G47" s="46"/>
      <c r="H47" s="53">
        <f t="shared" si="1"/>
        <v>2952.3667698475001</v>
      </c>
    </row>
    <row r="48" spans="1:8" x14ac:dyDescent="0.25">
      <c r="A48" s="15" t="s">
        <v>24</v>
      </c>
      <c r="B48" s="29"/>
      <c r="C48" s="29">
        <v>2063.17879404</v>
      </c>
      <c r="D48" s="29"/>
      <c r="E48" s="30"/>
      <c r="F48" s="30"/>
      <c r="G48" s="30"/>
      <c r="H48" s="31">
        <f t="shared" si="1"/>
        <v>2063.17879404</v>
      </c>
    </row>
    <row r="49" spans="1:8" x14ac:dyDescent="0.25">
      <c r="A49" s="15" t="s">
        <v>43</v>
      </c>
      <c r="B49" s="29"/>
      <c r="C49" s="29">
        <v>1.2816060600000001</v>
      </c>
      <c r="D49" s="29">
        <v>0.72776923500000001</v>
      </c>
      <c r="E49" s="30"/>
      <c r="F49" s="30"/>
      <c r="G49" s="30"/>
      <c r="H49" s="31">
        <f t="shared" si="1"/>
        <v>2.0093752949999999</v>
      </c>
    </row>
    <row r="50" spans="1:8" x14ac:dyDescent="0.25">
      <c r="A50" s="15" t="s">
        <v>25</v>
      </c>
      <c r="B50" s="33">
        <v>3.7785310000000001</v>
      </c>
      <c r="C50" s="33">
        <v>15.625660344</v>
      </c>
      <c r="D50" s="33">
        <v>17.71693063</v>
      </c>
      <c r="E50" s="30"/>
      <c r="F50" s="30"/>
      <c r="G50" s="30"/>
      <c r="H50" s="34">
        <f t="shared" si="1"/>
        <v>37.121121974000005</v>
      </c>
    </row>
    <row r="51" spans="1:8" x14ac:dyDescent="0.25">
      <c r="A51" s="15" t="s">
        <v>42</v>
      </c>
      <c r="B51" s="30"/>
      <c r="C51" s="33">
        <v>730.95599338650004</v>
      </c>
      <c r="D51" s="33">
        <v>111.80811630000001</v>
      </c>
      <c r="E51" s="30"/>
      <c r="F51" s="30"/>
      <c r="G51" s="30"/>
      <c r="H51" s="34">
        <f t="shared" si="1"/>
        <v>842.76410968650009</v>
      </c>
    </row>
    <row r="52" spans="1:8" ht="13" thickBot="1" x14ac:dyDescent="0.3">
      <c r="A52" s="15" t="s">
        <v>44</v>
      </c>
      <c r="B52" s="33"/>
      <c r="C52" s="33">
        <v>7.2933688520000004</v>
      </c>
      <c r="D52" s="33"/>
      <c r="E52" s="30"/>
      <c r="F52" s="30"/>
      <c r="G52" s="30"/>
      <c r="H52" s="34">
        <f t="shared" si="1"/>
        <v>7.2933688520000004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pageSetUpPr fitToPage="1"/>
  </sheetPr>
  <dimension ref="A1:H53"/>
  <sheetViews>
    <sheetView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58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35928.755348820938</v>
      </c>
      <c r="C7" s="203">
        <f t="shared" ref="C7:G7" si="0">SUM(C8,C18,C27,C37,C47,C53)</f>
        <v>6772.9614877086988</v>
      </c>
      <c r="D7" s="203">
        <f t="shared" si="0"/>
        <v>1505.659073963639</v>
      </c>
      <c r="E7" s="203">
        <f t="shared" si="0"/>
        <v>4108.7250335280278</v>
      </c>
      <c r="F7" s="203">
        <f t="shared" si="0"/>
        <v>3.8908071499999995E-2</v>
      </c>
      <c r="G7" s="203">
        <f t="shared" si="0"/>
        <v>31.456756829500005</v>
      </c>
      <c r="H7" s="204">
        <f>SUM(B7:G7)</f>
        <v>48347.596608922307</v>
      </c>
    </row>
    <row r="8" spans="1:8" ht="13" thickTop="1" x14ac:dyDescent="0.25">
      <c r="A8" s="14" t="s">
        <v>5</v>
      </c>
      <c r="B8" s="25">
        <f>SUM(B9,B15)</f>
        <v>30296.828739178956</v>
      </c>
      <c r="C8" s="25">
        <f>SUM(C9,C15)</f>
        <v>410.52628865429193</v>
      </c>
      <c r="D8" s="25">
        <f>SUM(D9,D15)</f>
        <v>323.93848373363909</v>
      </c>
      <c r="E8" s="26"/>
      <c r="F8" s="26"/>
      <c r="G8" s="27"/>
      <c r="H8" s="28">
        <f t="shared" ref="H8:H53" si="1">SUM(B8:G8)</f>
        <v>31031.293511566888</v>
      </c>
    </row>
    <row r="9" spans="1:8" x14ac:dyDescent="0.25">
      <c r="A9" s="15" t="s">
        <v>6</v>
      </c>
      <c r="B9" s="29">
        <f>SUM(B10:B14)</f>
        <v>30237.201154279162</v>
      </c>
      <c r="C9" s="29">
        <f>SUM(C10:C14)</f>
        <v>296.97875702066307</v>
      </c>
      <c r="D9" s="29">
        <f>SUM(D10:D14)</f>
        <v>323.82812790192338</v>
      </c>
      <c r="E9" s="30"/>
      <c r="F9" s="30"/>
      <c r="G9" s="30"/>
      <c r="H9" s="31">
        <f t="shared" si="1"/>
        <v>30858.008039201752</v>
      </c>
    </row>
    <row r="10" spans="1:8" x14ac:dyDescent="0.25">
      <c r="A10" s="32" t="s">
        <v>7</v>
      </c>
      <c r="B10" s="33">
        <v>3597.1701323616198</v>
      </c>
      <c r="C10" s="33">
        <v>2.1661666903069814</v>
      </c>
      <c r="D10" s="33">
        <v>14.679016968051934</v>
      </c>
      <c r="E10" s="30"/>
      <c r="F10" s="30"/>
      <c r="G10" s="30"/>
      <c r="H10" s="34">
        <f t="shared" si="1"/>
        <v>3614.0153160199789</v>
      </c>
    </row>
    <row r="11" spans="1:8" x14ac:dyDescent="0.25">
      <c r="A11" s="32" t="s">
        <v>8</v>
      </c>
      <c r="B11" s="33">
        <v>9637.6928771669318</v>
      </c>
      <c r="C11" s="33">
        <v>117.06966254971952</v>
      </c>
      <c r="D11" s="33">
        <v>31.005331986288081</v>
      </c>
      <c r="E11" s="30"/>
      <c r="F11" s="30"/>
      <c r="G11" s="30"/>
      <c r="H11" s="34">
        <f t="shared" si="1"/>
        <v>9785.7678717029394</v>
      </c>
    </row>
    <row r="12" spans="1:8" x14ac:dyDescent="0.25">
      <c r="A12" s="32" t="s">
        <v>9</v>
      </c>
      <c r="B12" s="33">
        <v>12813.993516750612</v>
      </c>
      <c r="C12" s="35">
        <v>67.049901728636598</v>
      </c>
      <c r="D12" s="33">
        <v>255.74388995258337</v>
      </c>
      <c r="E12" s="30"/>
      <c r="F12" s="30"/>
      <c r="G12" s="30"/>
      <c r="H12" s="34">
        <f t="shared" si="1"/>
        <v>13136.787308431833</v>
      </c>
    </row>
    <row r="13" spans="1:8" x14ac:dyDescent="0.25">
      <c r="A13" s="32" t="s">
        <v>10</v>
      </c>
      <c r="B13" s="33">
        <v>4136.3573120000001</v>
      </c>
      <c r="C13" s="33">
        <v>110.64722947599999</v>
      </c>
      <c r="D13" s="33">
        <v>22.005504599999998</v>
      </c>
      <c r="E13" s="30"/>
      <c r="F13" s="30"/>
      <c r="G13" s="30"/>
      <c r="H13" s="34">
        <f t="shared" si="1"/>
        <v>4269.0100460759995</v>
      </c>
    </row>
    <row r="14" spans="1:8" x14ac:dyDescent="0.25">
      <c r="A14" s="32" t="s">
        <v>11</v>
      </c>
      <c r="B14" s="33">
        <v>51.987315999999993</v>
      </c>
      <c r="C14" s="33">
        <v>4.5796575999999999E-2</v>
      </c>
      <c r="D14" s="33">
        <v>0.394384395</v>
      </c>
      <c r="E14" s="30"/>
      <c r="F14" s="30"/>
      <c r="G14" s="30"/>
      <c r="H14" s="34">
        <f t="shared" si="1"/>
        <v>52.427496970999997</v>
      </c>
    </row>
    <row r="15" spans="1:8" x14ac:dyDescent="0.25">
      <c r="A15" s="15" t="s">
        <v>12</v>
      </c>
      <c r="B15" s="33">
        <f>SUM(B16:B17)</f>
        <v>59.627584899792758</v>
      </c>
      <c r="C15" s="33">
        <f>SUM(C16:C17)</f>
        <v>113.54753163362886</v>
      </c>
      <c r="D15" s="33">
        <f>SUM(D16:D17)</f>
        <v>0.11035583171571001</v>
      </c>
      <c r="E15" s="30"/>
      <c r="F15" s="30"/>
      <c r="G15" s="30"/>
      <c r="H15" s="34">
        <f t="shared" si="1"/>
        <v>173.28547236513734</v>
      </c>
    </row>
    <row r="16" spans="1:8" x14ac:dyDescent="0.25">
      <c r="A16" s="32" t="s">
        <v>13</v>
      </c>
      <c r="B16" s="33"/>
      <c r="C16" s="33">
        <v>35.966934639999998</v>
      </c>
      <c r="D16" s="33"/>
      <c r="E16" s="30"/>
      <c r="F16" s="30"/>
      <c r="G16" s="30"/>
      <c r="H16" s="34">
        <f t="shared" si="1"/>
        <v>35.966934639999998</v>
      </c>
    </row>
    <row r="17" spans="1:8" ht="13" thickBot="1" x14ac:dyDescent="0.3">
      <c r="A17" s="36" t="s">
        <v>14</v>
      </c>
      <c r="B17" s="37">
        <v>59.627584899792758</v>
      </c>
      <c r="C17" s="37">
        <v>77.580596993628859</v>
      </c>
      <c r="D17" s="37">
        <v>0.11035583171571001</v>
      </c>
      <c r="E17" s="38"/>
      <c r="F17" s="38"/>
      <c r="G17" s="38"/>
      <c r="H17" s="39">
        <f t="shared" si="1"/>
        <v>137.31853772513733</v>
      </c>
    </row>
    <row r="18" spans="1:8" x14ac:dyDescent="0.25">
      <c r="A18" s="14" t="s">
        <v>15</v>
      </c>
      <c r="B18" s="40">
        <f t="shared" ref="B18:G18" si="2">SUM(B19:B26)</f>
        <v>5614.7959786419833</v>
      </c>
      <c r="C18" s="40">
        <f t="shared" si="2"/>
        <v>90.662362296657136</v>
      </c>
      <c r="D18" s="40">
        <f t="shared" si="2"/>
        <v>113.244180715</v>
      </c>
      <c r="E18" s="40">
        <f t="shared" si="2"/>
        <v>4108.7250335280278</v>
      </c>
      <c r="F18" s="40">
        <f t="shared" si="2"/>
        <v>3.8908071499999995E-2</v>
      </c>
      <c r="G18" s="41">
        <f t="shared" si="2"/>
        <v>31.456756829500005</v>
      </c>
      <c r="H18" s="28">
        <f t="shared" si="1"/>
        <v>9958.9232200826682</v>
      </c>
    </row>
    <row r="19" spans="1:8" x14ac:dyDescent="0.25">
      <c r="A19" s="15" t="s">
        <v>16</v>
      </c>
      <c r="B19" s="29">
        <v>3986.1412910478271</v>
      </c>
      <c r="C19" s="29"/>
      <c r="D19" s="29"/>
      <c r="E19" s="42"/>
      <c r="F19" s="42"/>
      <c r="G19" s="42"/>
      <c r="H19" s="31">
        <f t="shared" si="1"/>
        <v>3986.1412910478271</v>
      </c>
    </row>
    <row r="20" spans="1:8" x14ac:dyDescent="0.25">
      <c r="A20" s="15" t="s">
        <v>17</v>
      </c>
      <c r="B20" s="33">
        <v>1544.908342594156</v>
      </c>
      <c r="C20" s="33">
        <v>90.662362296657136</v>
      </c>
      <c r="D20" s="33">
        <v>13.5945</v>
      </c>
      <c r="E20" s="33">
        <v>3787.2731384024</v>
      </c>
      <c r="F20" s="33"/>
      <c r="G20" s="33"/>
      <c r="H20" s="34">
        <f t="shared" si="1"/>
        <v>5436.4383432932136</v>
      </c>
    </row>
    <row r="21" spans="1:8" x14ac:dyDescent="0.25">
      <c r="A21" s="15" t="s">
        <v>18</v>
      </c>
      <c r="B21" s="33">
        <v>33.339826000000002</v>
      </c>
      <c r="C21" s="33"/>
      <c r="D21" s="33"/>
      <c r="E21" s="30"/>
      <c r="F21" s="33"/>
      <c r="G21" s="43"/>
      <c r="H21" s="34">
        <f t="shared" si="1"/>
        <v>33.339826000000002</v>
      </c>
    </row>
    <row r="22" spans="1:8" x14ac:dyDescent="0.25">
      <c r="A22" s="15" t="s">
        <v>32</v>
      </c>
      <c r="B22" s="33">
        <v>50.406519000000003</v>
      </c>
      <c r="C22" s="33"/>
      <c r="D22" s="33"/>
      <c r="E22" s="30"/>
      <c r="F22" s="30"/>
      <c r="G22" s="30"/>
      <c r="H22" s="34">
        <f t="shared" si="1"/>
        <v>50.406519000000003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321.45189512562791</v>
      </c>
      <c r="F24" s="33">
        <v>3.8908071499999995E-2</v>
      </c>
      <c r="G24" s="33"/>
      <c r="H24" s="34">
        <f t="shared" si="1"/>
        <v>321.49080319712789</v>
      </c>
    </row>
    <row r="25" spans="1:8" x14ac:dyDescent="0.25">
      <c r="A25" s="15" t="s">
        <v>34</v>
      </c>
      <c r="B25" s="33"/>
      <c r="C25" s="33"/>
      <c r="D25" s="33">
        <v>99.649680715000002</v>
      </c>
      <c r="E25" s="33"/>
      <c r="F25" s="33"/>
      <c r="G25" s="33">
        <v>31.456756829500005</v>
      </c>
      <c r="H25" s="34">
        <f t="shared" si="1"/>
        <v>131.10643754450001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14.68329</v>
      </c>
      <c r="C27" s="40">
        <f>SUM(C28:C36)</f>
        <v>3501.9431695359999</v>
      </c>
      <c r="D27" s="40">
        <f>SUM(D28:D36)</f>
        <v>952.2920784449999</v>
      </c>
      <c r="E27" s="45"/>
      <c r="F27" s="45"/>
      <c r="G27" s="46"/>
      <c r="H27" s="28">
        <f t="shared" si="1"/>
        <v>4468.9185379809996</v>
      </c>
    </row>
    <row r="28" spans="1:8" x14ac:dyDescent="0.25">
      <c r="A28" s="15" t="s">
        <v>19</v>
      </c>
      <c r="B28" s="42"/>
      <c r="C28" s="29">
        <v>1392.7241280399999</v>
      </c>
      <c r="D28" s="47"/>
      <c r="E28" s="30"/>
      <c r="F28" s="30"/>
      <c r="G28" s="30"/>
      <c r="H28" s="31">
        <f t="shared" si="1"/>
        <v>1392.7241280399999</v>
      </c>
    </row>
    <row r="29" spans="1:8" x14ac:dyDescent="0.25">
      <c r="A29" s="15" t="s">
        <v>20</v>
      </c>
      <c r="B29" s="30"/>
      <c r="C29" s="33">
        <v>1952.2978673800001</v>
      </c>
      <c r="D29" s="33">
        <v>421.45845549000001</v>
      </c>
      <c r="E29" s="30"/>
      <c r="F29" s="30"/>
      <c r="G29" s="30"/>
      <c r="H29" s="34">
        <f t="shared" si="1"/>
        <v>2373.7563228700001</v>
      </c>
    </row>
    <row r="30" spans="1:8" x14ac:dyDescent="0.25">
      <c r="A30" s="15" t="s">
        <v>21</v>
      </c>
      <c r="B30" s="30"/>
      <c r="C30" s="33">
        <v>120.82826442400001</v>
      </c>
      <c r="D30" s="48"/>
      <c r="E30" s="30"/>
      <c r="F30" s="30"/>
      <c r="G30" s="30"/>
      <c r="H30" s="34">
        <f t="shared" si="1"/>
        <v>120.82826442400001</v>
      </c>
    </row>
    <row r="31" spans="1:8" x14ac:dyDescent="0.25">
      <c r="A31" s="15" t="s">
        <v>22</v>
      </c>
      <c r="B31" s="49"/>
      <c r="C31" s="33"/>
      <c r="D31" s="33">
        <v>521.97749202499995</v>
      </c>
      <c r="E31" s="30"/>
      <c r="F31" s="30"/>
      <c r="G31" s="30"/>
      <c r="H31" s="34">
        <f t="shared" si="1"/>
        <v>521.97749202499995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36.092909691999999</v>
      </c>
      <c r="D33" s="33">
        <v>8.8561309299999991</v>
      </c>
      <c r="E33" s="30"/>
      <c r="F33" s="30"/>
      <c r="G33" s="30"/>
      <c r="H33" s="34">
        <f t="shared" si="1"/>
        <v>44.949040621999998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12.211181</v>
      </c>
      <c r="C35" s="50"/>
      <c r="D35" s="50"/>
      <c r="E35" s="51"/>
      <c r="F35" s="51"/>
      <c r="G35" s="51"/>
      <c r="H35" s="52">
        <f t="shared" si="1"/>
        <v>12.211181</v>
      </c>
    </row>
    <row r="36" spans="1:8" ht="13" thickBot="1" x14ac:dyDescent="0.3">
      <c r="A36" s="16" t="s">
        <v>48</v>
      </c>
      <c r="B36" s="37">
        <v>2.4721090000000001</v>
      </c>
      <c r="C36" s="37"/>
      <c r="D36" s="37"/>
      <c r="E36" s="38"/>
      <c r="F36" s="38"/>
      <c r="G36" s="38"/>
      <c r="H36" s="39">
        <f t="shared" si="1"/>
        <v>2.4721090000000001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2.4473410000000002</v>
      </c>
      <c r="C47" s="40">
        <f>SUM(C48:C52)</f>
        <v>2769.8296672217498</v>
      </c>
      <c r="D47" s="40">
        <f>SUM(D48:D52)</f>
        <v>116.18433107000001</v>
      </c>
      <c r="E47" s="45"/>
      <c r="F47" s="45"/>
      <c r="G47" s="46"/>
      <c r="H47" s="53">
        <f t="shared" si="1"/>
        <v>2888.4613392917499</v>
      </c>
    </row>
    <row r="48" spans="1:8" x14ac:dyDescent="0.25">
      <c r="A48" s="15" t="s">
        <v>24</v>
      </c>
      <c r="B48" s="29"/>
      <c r="C48" s="29">
        <v>1961.139707324</v>
      </c>
      <c r="D48" s="29"/>
      <c r="E48" s="30"/>
      <c r="F48" s="30"/>
      <c r="G48" s="30"/>
      <c r="H48" s="31">
        <f t="shared" si="1"/>
        <v>1961.139707324</v>
      </c>
    </row>
    <row r="49" spans="1:8" x14ac:dyDescent="0.25">
      <c r="A49" s="15" t="s">
        <v>43</v>
      </c>
      <c r="B49" s="29"/>
      <c r="C49" s="29">
        <v>5.1692676280000001</v>
      </c>
      <c r="D49" s="29">
        <v>2.935405265</v>
      </c>
      <c r="E49" s="30"/>
      <c r="F49" s="30"/>
      <c r="G49" s="30"/>
      <c r="H49" s="31">
        <f t="shared" si="1"/>
        <v>8.104672893</v>
      </c>
    </row>
    <row r="50" spans="1:8" x14ac:dyDescent="0.25">
      <c r="A50" s="15" t="s">
        <v>25</v>
      </c>
      <c r="B50" s="33">
        <v>2.4473410000000002</v>
      </c>
      <c r="C50" s="33">
        <v>11.232729983999999</v>
      </c>
      <c r="D50" s="33">
        <v>14.093457104999999</v>
      </c>
      <c r="E50" s="30"/>
      <c r="F50" s="30"/>
      <c r="G50" s="30"/>
      <c r="H50" s="34">
        <f t="shared" si="1"/>
        <v>27.773528088999996</v>
      </c>
    </row>
    <row r="51" spans="1:8" x14ac:dyDescent="0.25">
      <c r="A51" s="15" t="s">
        <v>42</v>
      </c>
      <c r="B51" s="30"/>
      <c r="C51" s="33">
        <v>784.71839608574999</v>
      </c>
      <c r="D51" s="33">
        <v>99.155468700000014</v>
      </c>
      <c r="E51" s="30"/>
      <c r="F51" s="30"/>
      <c r="G51" s="30"/>
      <c r="H51" s="34">
        <f t="shared" si="1"/>
        <v>883.87386478575002</v>
      </c>
    </row>
    <row r="52" spans="1:8" ht="13" thickBot="1" x14ac:dyDescent="0.3">
      <c r="A52" s="15" t="s">
        <v>44</v>
      </c>
      <c r="B52" s="33"/>
      <c r="C52" s="33">
        <v>7.5695662000000006</v>
      </c>
      <c r="D52" s="33"/>
      <c r="E52" s="30"/>
      <c r="F52" s="30"/>
      <c r="G52" s="30"/>
      <c r="H52" s="34">
        <f t="shared" si="1"/>
        <v>7.5695662000000006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>
    <pageSetUpPr fitToPage="1"/>
  </sheetPr>
  <dimension ref="A1:H53"/>
  <sheetViews>
    <sheetView topLeftCell="A13" workbookViewId="0">
      <selection activeCell="B38" sqref="B38:D45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57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35190.284523437927</v>
      </c>
      <c r="C7" s="203">
        <f t="shared" ref="C7:G7" si="0">SUM(C8,C18,C27,C37,C47,C53)</f>
        <v>6719.1894080801976</v>
      </c>
      <c r="D7" s="203">
        <f t="shared" si="0"/>
        <v>1514.8722457252372</v>
      </c>
      <c r="E7" s="203">
        <f t="shared" si="0"/>
        <v>4535.5217423099102</v>
      </c>
      <c r="F7" s="203">
        <f t="shared" si="0"/>
        <v>4.1518623000000011E-2</v>
      </c>
      <c r="G7" s="203">
        <f t="shared" si="0"/>
        <v>30.338341821499998</v>
      </c>
      <c r="H7" s="204">
        <f>SUM(B7:G7)</f>
        <v>47990.247779997771</v>
      </c>
    </row>
    <row r="8" spans="1:8" ht="13" thickTop="1" x14ac:dyDescent="0.25">
      <c r="A8" s="14" t="s">
        <v>5</v>
      </c>
      <c r="B8" s="25">
        <f>SUM(B9,B15)</f>
        <v>30002.925644222334</v>
      </c>
      <c r="C8" s="25">
        <f>SUM(C9,C15)</f>
        <v>407.09194259655499</v>
      </c>
      <c r="D8" s="25">
        <f>SUM(D9,D15)</f>
        <v>343.50497176523731</v>
      </c>
      <c r="E8" s="26"/>
      <c r="F8" s="26"/>
      <c r="G8" s="27"/>
      <c r="H8" s="28">
        <f t="shared" ref="H8:H53" si="1">SUM(B8:G8)</f>
        <v>30753.522558584125</v>
      </c>
    </row>
    <row r="9" spans="1:8" x14ac:dyDescent="0.25">
      <c r="A9" s="15" t="s">
        <v>6</v>
      </c>
      <c r="B9" s="29">
        <f>SUM(B10:B14)</f>
        <v>29954.550836081606</v>
      </c>
      <c r="C9" s="29">
        <f>SUM(C10:C14)</f>
        <v>304.52910171592487</v>
      </c>
      <c r="D9" s="29">
        <f>SUM(D10:D14)</f>
        <v>343.42754568704885</v>
      </c>
      <c r="E9" s="30"/>
      <c r="F9" s="30"/>
      <c r="G9" s="30"/>
      <c r="H9" s="31">
        <f t="shared" si="1"/>
        <v>30602.50748348458</v>
      </c>
    </row>
    <row r="10" spans="1:8" x14ac:dyDescent="0.25">
      <c r="A10" s="32" t="s">
        <v>7</v>
      </c>
      <c r="B10" s="33">
        <v>3908.85691156348</v>
      </c>
      <c r="C10" s="33">
        <v>2.3369079124613581</v>
      </c>
      <c r="D10" s="33">
        <v>20.384652724312428</v>
      </c>
      <c r="E10" s="30"/>
      <c r="F10" s="30"/>
      <c r="G10" s="30"/>
      <c r="H10" s="34">
        <f t="shared" si="1"/>
        <v>3931.5784722002536</v>
      </c>
    </row>
    <row r="11" spans="1:8" x14ac:dyDescent="0.25">
      <c r="A11" s="32" t="s">
        <v>8</v>
      </c>
      <c r="B11" s="33">
        <v>9652.1459685770224</v>
      </c>
      <c r="C11" s="33">
        <v>96.193898200095347</v>
      </c>
      <c r="D11" s="33">
        <v>28.939545321407472</v>
      </c>
      <c r="E11" s="30"/>
      <c r="F11" s="30"/>
      <c r="G11" s="30"/>
      <c r="H11" s="34">
        <f t="shared" si="1"/>
        <v>9777.2794120985254</v>
      </c>
    </row>
    <row r="12" spans="1:8" x14ac:dyDescent="0.25">
      <c r="A12" s="32" t="s">
        <v>9</v>
      </c>
      <c r="B12" s="33">
        <v>11995.633837941106</v>
      </c>
      <c r="C12" s="35">
        <v>70.333590259368123</v>
      </c>
      <c r="D12" s="33">
        <v>270.39842931132893</v>
      </c>
      <c r="E12" s="30"/>
      <c r="F12" s="30"/>
      <c r="G12" s="30"/>
      <c r="H12" s="34">
        <f t="shared" si="1"/>
        <v>12336.365857511802</v>
      </c>
    </row>
    <row r="13" spans="1:8" x14ac:dyDescent="0.25">
      <c r="A13" s="32" t="s">
        <v>10</v>
      </c>
      <c r="B13" s="33">
        <v>4346.6554079999996</v>
      </c>
      <c r="C13" s="33">
        <v>135.611522928</v>
      </c>
      <c r="D13" s="33">
        <v>23.314330590000001</v>
      </c>
      <c r="E13" s="30"/>
      <c r="F13" s="30"/>
      <c r="G13" s="30"/>
      <c r="H13" s="34">
        <f t="shared" si="1"/>
        <v>4505.5812615180002</v>
      </c>
    </row>
    <row r="14" spans="1:8" x14ac:dyDescent="0.25">
      <c r="A14" s="32" t="s">
        <v>11</v>
      </c>
      <c r="B14" s="33">
        <v>51.258710000000001</v>
      </c>
      <c r="C14" s="33">
        <v>5.3182415999999996E-2</v>
      </c>
      <c r="D14" s="33">
        <v>0.39058773999999996</v>
      </c>
      <c r="E14" s="30"/>
      <c r="F14" s="30"/>
      <c r="G14" s="30"/>
      <c r="H14" s="34">
        <f t="shared" si="1"/>
        <v>51.702480156</v>
      </c>
    </row>
    <row r="15" spans="1:8" x14ac:dyDescent="0.25">
      <c r="A15" s="15" t="s">
        <v>12</v>
      </c>
      <c r="B15" s="33">
        <f>SUM(B16:B17)</f>
        <v>48.374808140729144</v>
      </c>
      <c r="C15" s="33">
        <f>SUM(C16:C17)</f>
        <v>102.56284088063012</v>
      </c>
      <c r="D15" s="33">
        <f>SUM(D16:D17)</f>
        <v>7.7426078188477798E-2</v>
      </c>
      <c r="E15" s="30"/>
      <c r="F15" s="30"/>
      <c r="G15" s="30"/>
      <c r="H15" s="34">
        <f t="shared" si="1"/>
        <v>151.01507509954774</v>
      </c>
    </row>
    <row r="16" spans="1:8" x14ac:dyDescent="0.25">
      <c r="A16" s="32" t="s">
        <v>13</v>
      </c>
      <c r="B16" s="33"/>
      <c r="C16" s="33">
        <v>42.731921960000001</v>
      </c>
      <c r="D16" s="33"/>
      <c r="E16" s="30"/>
      <c r="F16" s="30"/>
      <c r="G16" s="30"/>
      <c r="H16" s="34">
        <f t="shared" si="1"/>
        <v>42.731921960000001</v>
      </c>
    </row>
    <row r="17" spans="1:8" ht="13" thickBot="1" x14ac:dyDescent="0.3">
      <c r="A17" s="36" t="s">
        <v>14</v>
      </c>
      <c r="B17" s="37">
        <v>48.374808140729144</v>
      </c>
      <c r="C17" s="37">
        <v>59.830918920630118</v>
      </c>
      <c r="D17" s="37">
        <v>7.7426078188477798E-2</v>
      </c>
      <c r="E17" s="38"/>
      <c r="F17" s="38"/>
      <c r="G17" s="38"/>
      <c r="H17" s="39">
        <f t="shared" si="1"/>
        <v>108.28315313954774</v>
      </c>
    </row>
    <row r="18" spans="1:8" x14ac:dyDescent="0.25">
      <c r="A18" s="14" t="s">
        <v>15</v>
      </c>
      <c r="B18" s="40">
        <f t="shared" ref="B18:G18" si="2">SUM(B19:B26)</f>
        <v>5174.4044932155884</v>
      </c>
      <c r="C18" s="40">
        <f t="shared" si="2"/>
        <v>85.371426937133251</v>
      </c>
      <c r="D18" s="40">
        <f t="shared" si="2"/>
        <v>126.20166788500001</v>
      </c>
      <c r="E18" s="40">
        <f t="shared" si="2"/>
        <v>4535.5217423099102</v>
      </c>
      <c r="F18" s="40">
        <f t="shared" si="2"/>
        <v>4.1518623000000011E-2</v>
      </c>
      <c r="G18" s="41">
        <f t="shared" si="2"/>
        <v>30.338341821499998</v>
      </c>
      <c r="H18" s="28">
        <f t="shared" si="1"/>
        <v>9951.8791907921332</v>
      </c>
    </row>
    <row r="19" spans="1:8" x14ac:dyDescent="0.25">
      <c r="A19" s="15" t="s">
        <v>16</v>
      </c>
      <c r="B19" s="29">
        <v>3674.1099520577709</v>
      </c>
      <c r="C19" s="29"/>
      <c r="D19" s="29"/>
      <c r="E19" s="42"/>
      <c r="F19" s="42"/>
      <c r="G19" s="42"/>
      <c r="H19" s="31">
        <f t="shared" si="1"/>
        <v>3674.1099520577709</v>
      </c>
    </row>
    <row r="20" spans="1:8" x14ac:dyDescent="0.25">
      <c r="A20" s="15" t="s">
        <v>17</v>
      </c>
      <c r="B20" s="33">
        <v>1425.1531681578183</v>
      </c>
      <c r="C20" s="33">
        <v>85.371426937133251</v>
      </c>
      <c r="D20" s="33">
        <v>20.984183999999999</v>
      </c>
      <c r="E20" s="33">
        <v>4392.6323197800002</v>
      </c>
      <c r="F20" s="33"/>
      <c r="G20" s="33"/>
      <c r="H20" s="34">
        <f t="shared" si="1"/>
        <v>5924.1410988749521</v>
      </c>
    </row>
    <row r="21" spans="1:8" x14ac:dyDescent="0.25">
      <c r="A21" s="15" t="s">
        <v>18</v>
      </c>
      <c r="B21" s="33">
        <v>31.723358999999999</v>
      </c>
      <c r="C21" s="33"/>
      <c r="D21" s="33"/>
      <c r="E21" s="30"/>
      <c r="F21" s="33"/>
      <c r="G21" s="43"/>
      <c r="H21" s="34">
        <f t="shared" si="1"/>
        <v>31.723358999999999</v>
      </c>
    </row>
    <row r="22" spans="1:8" x14ac:dyDescent="0.25">
      <c r="A22" s="15" t="s">
        <v>32</v>
      </c>
      <c r="B22" s="33">
        <v>43.418014000000007</v>
      </c>
      <c r="C22" s="33"/>
      <c r="D22" s="33"/>
      <c r="E22" s="30"/>
      <c r="F22" s="30"/>
      <c r="G22" s="30"/>
      <c r="H22" s="34">
        <f t="shared" si="1"/>
        <v>43.418014000000007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142.88942252990998</v>
      </c>
      <c r="F24" s="33">
        <v>4.1518623000000011E-2</v>
      </c>
      <c r="G24" s="33"/>
      <c r="H24" s="34">
        <f t="shared" si="1"/>
        <v>142.93094115290998</v>
      </c>
    </row>
    <row r="25" spans="1:8" x14ac:dyDescent="0.25">
      <c r="A25" s="15" t="s">
        <v>34</v>
      </c>
      <c r="B25" s="33"/>
      <c r="C25" s="33"/>
      <c r="D25" s="33">
        <v>105.21748388500001</v>
      </c>
      <c r="E25" s="33"/>
      <c r="F25" s="33"/>
      <c r="G25" s="33">
        <v>30.338341821499998</v>
      </c>
      <c r="H25" s="34">
        <f t="shared" si="1"/>
        <v>135.5558257065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11.494052</v>
      </c>
      <c r="C27" s="40">
        <f>SUM(C28:C36)</f>
        <v>3458.2474167079999</v>
      </c>
      <c r="D27" s="40">
        <f>SUM(D28:D36)</f>
        <v>935.89994217499998</v>
      </c>
      <c r="E27" s="45"/>
      <c r="F27" s="45"/>
      <c r="G27" s="46"/>
      <c r="H27" s="28">
        <f t="shared" si="1"/>
        <v>4405.6414108829995</v>
      </c>
    </row>
    <row r="28" spans="1:8" x14ac:dyDescent="0.25">
      <c r="A28" s="15" t="s">
        <v>19</v>
      </c>
      <c r="B28" s="42"/>
      <c r="C28" s="29">
        <v>1392.3005338200001</v>
      </c>
      <c r="D28" s="47"/>
      <c r="E28" s="30"/>
      <c r="F28" s="30"/>
      <c r="G28" s="30"/>
      <c r="H28" s="31">
        <f t="shared" si="1"/>
        <v>1392.3005338200001</v>
      </c>
    </row>
    <row r="29" spans="1:8" x14ac:dyDescent="0.25">
      <c r="A29" s="15" t="s">
        <v>20</v>
      </c>
      <c r="B29" s="30"/>
      <c r="C29" s="33">
        <v>1914.4402313119999</v>
      </c>
      <c r="D29" s="33">
        <v>427.43529781999996</v>
      </c>
      <c r="E29" s="30"/>
      <c r="F29" s="30"/>
      <c r="G29" s="30"/>
      <c r="H29" s="34">
        <f t="shared" si="1"/>
        <v>2341.8755291319999</v>
      </c>
    </row>
    <row r="30" spans="1:8" x14ac:dyDescent="0.25">
      <c r="A30" s="15" t="s">
        <v>21</v>
      </c>
      <c r="B30" s="30"/>
      <c r="C30" s="33">
        <v>119.75549530000001</v>
      </c>
      <c r="D30" s="48"/>
      <c r="E30" s="30"/>
      <c r="F30" s="30"/>
      <c r="G30" s="30"/>
      <c r="H30" s="34">
        <f t="shared" si="1"/>
        <v>119.75549530000001</v>
      </c>
    </row>
    <row r="31" spans="1:8" x14ac:dyDescent="0.25">
      <c r="A31" s="15" t="s">
        <v>22</v>
      </c>
      <c r="B31" s="49"/>
      <c r="C31" s="33"/>
      <c r="D31" s="33">
        <v>500.67385185000001</v>
      </c>
      <c r="E31" s="30"/>
      <c r="F31" s="30"/>
      <c r="G31" s="30"/>
      <c r="H31" s="34">
        <f t="shared" si="1"/>
        <v>500.67385185000001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31.751156276</v>
      </c>
      <c r="D33" s="33">
        <v>7.7907925049999998</v>
      </c>
      <c r="E33" s="30"/>
      <c r="F33" s="30"/>
      <c r="G33" s="30"/>
      <c r="H33" s="34">
        <f t="shared" si="1"/>
        <v>39.541948781000002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9.5040030000000009</v>
      </c>
      <c r="C35" s="50"/>
      <c r="D35" s="50"/>
      <c r="E35" s="51"/>
      <c r="F35" s="51"/>
      <c r="G35" s="51"/>
      <c r="H35" s="52">
        <f t="shared" si="1"/>
        <v>9.5040030000000009</v>
      </c>
    </row>
    <row r="36" spans="1:8" ht="13" thickBot="1" x14ac:dyDescent="0.3">
      <c r="A36" s="16" t="s">
        <v>48</v>
      </c>
      <c r="B36" s="37">
        <v>1.990049</v>
      </c>
      <c r="C36" s="37"/>
      <c r="D36" s="37"/>
      <c r="E36" s="38"/>
      <c r="F36" s="38"/>
      <c r="G36" s="38"/>
      <c r="H36" s="39">
        <f t="shared" si="1"/>
        <v>1.990049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1.460334</v>
      </c>
      <c r="C47" s="40">
        <f>SUM(C48:C52)</f>
        <v>2768.4786218385098</v>
      </c>
      <c r="D47" s="40">
        <f>SUM(D48:D52)</f>
        <v>109.26566389999999</v>
      </c>
      <c r="E47" s="45"/>
      <c r="F47" s="45"/>
      <c r="G47" s="46"/>
      <c r="H47" s="53">
        <f t="shared" si="1"/>
        <v>2879.2046197385098</v>
      </c>
    </row>
    <row r="48" spans="1:8" x14ac:dyDescent="0.25">
      <c r="A48" s="15" t="s">
        <v>24</v>
      </c>
      <c r="B48" s="29"/>
      <c r="C48" s="29">
        <v>1880.6880836800001</v>
      </c>
      <c r="D48" s="29"/>
      <c r="E48" s="30"/>
      <c r="F48" s="30"/>
      <c r="G48" s="30"/>
      <c r="H48" s="31">
        <f t="shared" si="1"/>
        <v>1880.6880836800001</v>
      </c>
    </row>
    <row r="49" spans="1:8" x14ac:dyDescent="0.25">
      <c r="A49" s="15" t="s">
        <v>43</v>
      </c>
      <c r="B49" s="29"/>
      <c r="C49" s="29">
        <v>4.5369239439999998</v>
      </c>
      <c r="D49" s="29">
        <v>2.5763247000000002</v>
      </c>
      <c r="E49" s="30"/>
      <c r="F49" s="30"/>
      <c r="G49" s="30"/>
      <c r="H49" s="31">
        <f t="shared" si="1"/>
        <v>7.1132486440000005</v>
      </c>
    </row>
    <row r="50" spans="1:8" x14ac:dyDescent="0.25">
      <c r="A50" s="15" t="s">
        <v>25</v>
      </c>
      <c r="B50" s="33">
        <v>1.460334</v>
      </c>
      <c r="C50" s="33">
        <v>16.17738271576</v>
      </c>
      <c r="D50" s="33">
        <v>18.475876849999999</v>
      </c>
      <c r="E50" s="30"/>
      <c r="F50" s="30"/>
      <c r="G50" s="30"/>
      <c r="H50" s="34">
        <f t="shared" si="1"/>
        <v>36.113593565759999</v>
      </c>
    </row>
    <row r="51" spans="1:8" x14ac:dyDescent="0.25">
      <c r="A51" s="15" t="s">
        <v>42</v>
      </c>
      <c r="B51" s="30"/>
      <c r="C51" s="33">
        <v>854.34136073474997</v>
      </c>
      <c r="D51" s="33">
        <v>88.21346235</v>
      </c>
      <c r="E51" s="30"/>
      <c r="F51" s="30"/>
      <c r="G51" s="30"/>
      <c r="H51" s="34">
        <f t="shared" si="1"/>
        <v>942.55482308474996</v>
      </c>
    </row>
    <row r="52" spans="1:8" ht="13" thickBot="1" x14ac:dyDescent="0.3">
      <c r="A52" s="15" t="s">
        <v>44</v>
      </c>
      <c r="B52" s="33"/>
      <c r="C52" s="33">
        <v>12.734870764000002</v>
      </c>
      <c r="D52" s="33"/>
      <c r="E52" s="30"/>
      <c r="F52" s="30"/>
      <c r="G52" s="30"/>
      <c r="H52" s="34">
        <f t="shared" si="1"/>
        <v>12.734870764000002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>
    <pageSetUpPr fitToPage="1"/>
  </sheetPr>
  <dimension ref="A1:H53"/>
  <sheetViews>
    <sheetView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56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35536.952501626649</v>
      </c>
      <c r="C7" s="203">
        <f t="shared" ref="C7:G7" si="0">SUM(C8,C18,C27,C37,C47,C53)</f>
        <v>6711.374037797139</v>
      </c>
      <c r="D7" s="203">
        <f t="shared" si="0"/>
        <v>1587.8669701456313</v>
      </c>
      <c r="E7" s="203">
        <f t="shared" si="0"/>
        <v>4288.89878127064</v>
      </c>
      <c r="F7" s="203">
        <f t="shared" si="0"/>
        <v>4.0219609599999998E-2</v>
      </c>
      <c r="G7" s="203">
        <f t="shared" si="0"/>
        <v>22.057099812000004</v>
      </c>
      <c r="H7" s="204">
        <f>SUM(B7:G7)</f>
        <v>48147.189610261659</v>
      </c>
    </row>
    <row r="8" spans="1:8" ht="13" thickTop="1" x14ac:dyDescent="0.25">
      <c r="A8" s="14" t="s">
        <v>5</v>
      </c>
      <c r="B8" s="25">
        <f>SUM(B9,B15)</f>
        <v>30624.37372018311</v>
      </c>
      <c r="C8" s="25">
        <f>SUM(C9,C15)</f>
        <v>405.20730569680779</v>
      </c>
      <c r="D8" s="25">
        <f>SUM(D9,D15)</f>
        <v>376.55964216063148</v>
      </c>
      <c r="E8" s="26"/>
      <c r="F8" s="26"/>
      <c r="G8" s="27"/>
      <c r="H8" s="28">
        <f t="shared" ref="H8:H53" si="1">SUM(B8:G8)</f>
        <v>31406.140668040549</v>
      </c>
    </row>
    <row r="9" spans="1:8" x14ac:dyDescent="0.25">
      <c r="A9" s="15" t="s">
        <v>6</v>
      </c>
      <c r="B9" s="29">
        <f>SUM(B10:B14)</f>
        <v>30568.203776862512</v>
      </c>
      <c r="C9" s="29">
        <f>SUM(C10:C14)</f>
        <v>304.56500903165562</v>
      </c>
      <c r="D9" s="29">
        <f>SUM(D10:D14)</f>
        <v>376.45438500335536</v>
      </c>
      <c r="E9" s="30"/>
      <c r="F9" s="30"/>
      <c r="G9" s="30"/>
      <c r="H9" s="31">
        <f t="shared" si="1"/>
        <v>31249.223170897523</v>
      </c>
    </row>
    <row r="10" spans="1:8" x14ac:dyDescent="0.25">
      <c r="A10" s="32" t="s">
        <v>7</v>
      </c>
      <c r="B10" s="33">
        <v>3537.6851225030528</v>
      </c>
      <c r="C10" s="33">
        <v>2.1994103434438745</v>
      </c>
      <c r="D10" s="33">
        <v>16.446640479489837</v>
      </c>
      <c r="E10" s="30"/>
      <c r="F10" s="30"/>
      <c r="G10" s="30"/>
      <c r="H10" s="34">
        <f t="shared" si="1"/>
        <v>3556.3311733259866</v>
      </c>
    </row>
    <row r="11" spans="1:8" x14ac:dyDescent="0.25">
      <c r="A11" s="32" t="s">
        <v>8</v>
      </c>
      <c r="B11" s="33">
        <v>10424.600841087611</v>
      </c>
      <c r="C11" s="33">
        <v>83.493948300330089</v>
      </c>
      <c r="D11" s="33">
        <v>34.924534214430906</v>
      </c>
      <c r="E11" s="30"/>
      <c r="F11" s="30"/>
      <c r="G11" s="30"/>
      <c r="H11" s="34">
        <f t="shared" si="1"/>
        <v>10543.019323602373</v>
      </c>
    </row>
    <row r="12" spans="1:8" x14ac:dyDescent="0.25">
      <c r="A12" s="32" t="s">
        <v>9</v>
      </c>
      <c r="B12" s="33">
        <v>12150.171636271847</v>
      </c>
      <c r="C12" s="35">
        <v>76.477264127881639</v>
      </c>
      <c r="D12" s="33">
        <v>300.95942290943458</v>
      </c>
      <c r="E12" s="30"/>
      <c r="F12" s="30"/>
      <c r="G12" s="30"/>
      <c r="H12" s="34">
        <f t="shared" si="1"/>
        <v>12527.608323309163</v>
      </c>
    </row>
    <row r="13" spans="1:8" x14ac:dyDescent="0.25">
      <c r="A13" s="32" t="s">
        <v>10</v>
      </c>
      <c r="B13" s="33">
        <v>4407.0420060000006</v>
      </c>
      <c r="C13" s="33">
        <v>142.34051496000001</v>
      </c>
      <c r="D13" s="33">
        <v>23.748566480000001</v>
      </c>
      <c r="E13" s="30"/>
      <c r="F13" s="30"/>
      <c r="G13" s="30"/>
      <c r="H13" s="34">
        <f t="shared" si="1"/>
        <v>4573.1310874400006</v>
      </c>
    </row>
    <row r="14" spans="1:8" x14ac:dyDescent="0.25">
      <c r="A14" s="32" t="s">
        <v>11</v>
      </c>
      <c r="B14" s="33">
        <v>48.704171000000002</v>
      </c>
      <c r="C14" s="33">
        <v>5.3871300000000004E-2</v>
      </c>
      <c r="D14" s="33">
        <v>0.37522092000000001</v>
      </c>
      <c r="E14" s="30"/>
      <c r="F14" s="30"/>
      <c r="G14" s="30"/>
      <c r="H14" s="34">
        <f t="shared" si="1"/>
        <v>49.133263219999996</v>
      </c>
    </row>
    <row r="15" spans="1:8" x14ac:dyDescent="0.25">
      <c r="A15" s="15" t="s">
        <v>12</v>
      </c>
      <c r="B15" s="33">
        <f>SUM(B16:B17)</f>
        <v>56.169943320597739</v>
      </c>
      <c r="C15" s="33">
        <f>SUM(C16:C17)</f>
        <v>100.64229666515214</v>
      </c>
      <c r="D15" s="33">
        <f>SUM(D16:D17)</f>
        <v>0.10525715727615</v>
      </c>
      <c r="E15" s="30"/>
      <c r="F15" s="30"/>
      <c r="G15" s="30"/>
      <c r="H15" s="34">
        <f t="shared" si="1"/>
        <v>156.91749714302605</v>
      </c>
    </row>
    <row r="16" spans="1:8" x14ac:dyDescent="0.25">
      <c r="A16" s="32" t="s">
        <v>13</v>
      </c>
      <c r="B16" s="33"/>
      <c r="C16" s="33">
        <v>41.84602786</v>
      </c>
      <c r="D16" s="33"/>
      <c r="E16" s="30"/>
      <c r="F16" s="30"/>
      <c r="G16" s="30"/>
      <c r="H16" s="34">
        <f t="shared" si="1"/>
        <v>41.84602786</v>
      </c>
    </row>
    <row r="17" spans="1:8" ht="13" thickBot="1" x14ac:dyDescent="0.3">
      <c r="A17" s="36" t="s">
        <v>14</v>
      </c>
      <c r="B17" s="37">
        <v>56.169943320597739</v>
      </c>
      <c r="C17" s="37">
        <v>58.796268805152138</v>
      </c>
      <c r="D17" s="37">
        <v>0.10525715727615</v>
      </c>
      <c r="E17" s="38"/>
      <c r="F17" s="38"/>
      <c r="G17" s="38"/>
      <c r="H17" s="39">
        <f t="shared" si="1"/>
        <v>115.07146928302603</v>
      </c>
    </row>
    <row r="18" spans="1:8" x14ac:dyDescent="0.25">
      <c r="A18" s="14" t="s">
        <v>15</v>
      </c>
      <c r="B18" s="40">
        <f t="shared" ref="B18:G18" si="2">SUM(B19:B26)</f>
        <v>4894.2407794435321</v>
      </c>
      <c r="C18" s="40">
        <f t="shared" si="2"/>
        <v>64.969816438371353</v>
      </c>
      <c r="D18" s="40">
        <f t="shared" si="2"/>
        <v>117.17573184500002</v>
      </c>
      <c r="E18" s="40">
        <f t="shared" si="2"/>
        <v>4288.89878127064</v>
      </c>
      <c r="F18" s="40">
        <f t="shared" si="2"/>
        <v>4.0219609599999998E-2</v>
      </c>
      <c r="G18" s="41">
        <f t="shared" si="2"/>
        <v>22.057099812000004</v>
      </c>
      <c r="H18" s="28">
        <f t="shared" si="1"/>
        <v>9387.3824284191451</v>
      </c>
    </row>
    <row r="19" spans="1:8" x14ac:dyDescent="0.25">
      <c r="A19" s="15" t="s">
        <v>16</v>
      </c>
      <c r="B19" s="29">
        <v>3684.8126046209513</v>
      </c>
      <c r="C19" s="29"/>
      <c r="D19" s="29"/>
      <c r="E19" s="42"/>
      <c r="F19" s="42"/>
      <c r="G19" s="42"/>
      <c r="H19" s="31">
        <f t="shared" si="1"/>
        <v>3684.8126046209513</v>
      </c>
    </row>
    <row r="20" spans="1:8" x14ac:dyDescent="0.25">
      <c r="A20" s="15" t="s">
        <v>17</v>
      </c>
      <c r="B20" s="33">
        <v>1138.4025168225801</v>
      </c>
      <c r="C20" s="33">
        <v>64.969816438371353</v>
      </c>
      <c r="D20" s="33">
        <v>13.46571</v>
      </c>
      <c r="E20" s="33">
        <v>4219.3499950400001</v>
      </c>
      <c r="F20" s="33"/>
      <c r="G20" s="33"/>
      <c r="H20" s="34">
        <f t="shared" si="1"/>
        <v>5436.1880383009511</v>
      </c>
    </row>
    <row r="21" spans="1:8" x14ac:dyDescent="0.25">
      <c r="A21" s="15" t="s">
        <v>18</v>
      </c>
      <c r="B21" s="33">
        <v>29.775718999999999</v>
      </c>
      <c r="C21" s="33"/>
      <c r="D21" s="33"/>
      <c r="E21" s="30"/>
      <c r="F21" s="33"/>
      <c r="G21" s="43"/>
      <c r="H21" s="34">
        <f t="shared" si="1"/>
        <v>29.775718999999999</v>
      </c>
    </row>
    <row r="22" spans="1:8" x14ac:dyDescent="0.25">
      <c r="A22" s="15" t="s">
        <v>32</v>
      </c>
      <c r="B22" s="33">
        <v>41.249938999999998</v>
      </c>
      <c r="C22" s="33"/>
      <c r="D22" s="33"/>
      <c r="E22" s="30"/>
      <c r="F22" s="30"/>
      <c r="G22" s="30"/>
      <c r="H22" s="34">
        <f t="shared" si="1"/>
        <v>41.249938999999998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69.548786230640019</v>
      </c>
      <c r="F24" s="33">
        <v>4.0219609599999998E-2</v>
      </c>
      <c r="G24" s="33"/>
      <c r="H24" s="34">
        <f t="shared" si="1"/>
        <v>69.58900584024002</v>
      </c>
    </row>
    <row r="25" spans="1:8" x14ac:dyDescent="0.25">
      <c r="A25" s="15" t="s">
        <v>34</v>
      </c>
      <c r="B25" s="33"/>
      <c r="C25" s="33"/>
      <c r="D25" s="33">
        <v>103.71002184500001</v>
      </c>
      <c r="E25" s="33"/>
      <c r="F25" s="33"/>
      <c r="G25" s="33">
        <v>22.057099812000004</v>
      </c>
      <c r="H25" s="34">
        <f t="shared" si="1"/>
        <v>125.76712165700002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14.208694000000001</v>
      </c>
      <c r="C27" s="40">
        <f>SUM(C28:C36)</f>
        <v>3531.2454669799995</v>
      </c>
      <c r="D27" s="40">
        <f>SUM(D28:D36)</f>
        <v>994.66946175499993</v>
      </c>
      <c r="E27" s="45"/>
      <c r="F27" s="45"/>
      <c r="G27" s="46"/>
      <c r="H27" s="28">
        <f t="shared" si="1"/>
        <v>4540.1236227349991</v>
      </c>
    </row>
    <row r="28" spans="1:8" x14ac:dyDescent="0.25">
      <c r="A28" s="15" t="s">
        <v>19</v>
      </c>
      <c r="B28" s="42"/>
      <c r="C28" s="29">
        <v>1430.9400644279999</v>
      </c>
      <c r="D28" s="47"/>
      <c r="E28" s="30"/>
      <c r="F28" s="30"/>
      <c r="G28" s="30"/>
      <c r="H28" s="31">
        <f t="shared" si="1"/>
        <v>1430.9400644279999</v>
      </c>
    </row>
    <row r="29" spans="1:8" x14ac:dyDescent="0.25">
      <c r="A29" s="15" t="s">
        <v>20</v>
      </c>
      <c r="B29" s="30"/>
      <c r="C29" s="33">
        <v>1944.1789238759998</v>
      </c>
      <c r="D29" s="33">
        <v>445.29614994999997</v>
      </c>
      <c r="E29" s="30"/>
      <c r="F29" s="30"/>
      <c r="G29" s="30"/>
      <c r="H29" s="34">
        <f t="shared" si="1"/>
        <v>2389.475073826</v>
      </c>
    </row>
    <row r="30" spans="1:8" x14ac:dyDescent="0.25">
      <c r="A30" s="15" t="s">
        <v>21</v>
      </c>
      <c r="B30" s="30"/>
      <c r="C30" s="33">
        <v>120.033414788</v>
      </c>
      <c r="D30" s="48"/>
      <c r="E30" s="30"/>
      <c r="F30" s="30"/>
      <c r="G30" s="30"/>
      <c r="H30" s="34">
        <f t="shared" si="1"/>
        <v>120.033414788</v>
      </c>
    </row>
    <row r="31" spans="1:8" x14ac:dyDescent="0.25">
      <c r="A31" s="15" t="s">
        <v>22</v>
      </c>
      <c r="B31" s="49"/>
      <c r="C31" s="33"/>
      <c r="D31" s="33">
        <v>540.51714403999995</v>
      </c>
      <c r="E31" s="30"/>
      <c r="F31" s="30"/>
      <c r="G31" s="30"/>
      <c r="H31" s="34">
        <f t="shared" si="1"/>
        <v>540.51714403999995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36.093063888000003</v>
      </c>
      <c r="D33" s="33">
        <v>8.8561677649999986</v>
      </c>
      <c r="E33" s="30"/>
      <c r="F33" s="30"/>
      <c r="G33" s="30"/>
      <c r="H33" s="34">
        <f t="shared" si="1"/>
        <v>44.949231652999998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11.612089000000001</v>
      </c>
      <c r="C35" s="50"/>
      <c r="D35" s="50"/>
      <c r="E35" s="51"/>
      <c r="F35" s="51"/>
      <c r="G35" s="51"/>
      <c r="H35" s="52">
        <f t="shared" si="1"/>
        <v>11.612089000000001</v>
      </c>
    </row>
    <row r="36" spans="1:8" ht="13" thickBot="1" x14ac:dyDescent="0.3">
      <c r="A36" s="16" t="s">
        <v>48</v>
      </c>
      <c r="B36" s="37">
        <v>2.5966050000000003</v>
      </c>
      <c r="C36" s="37"/>
      <c r="D36" s="37"/>
      <c r="E36" s="38"/>
      <c r="F36" s="38"/>
      <c r="G36" s="38"/>
      <c r="H36" s="39">
        <f t="shared" si="1"/>
        <v>2.5966050000000003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4.129308</v>
      </c>
      <c r="C47" s="40">
        <f>SUM(C48:C52)</f>
        <v>2709.9514486819598</v>
      </c>
      <c r="D47" s="40">
        <f>SUM(D48:D52)</f>
        <v>99.462134384999985</v>
      </c>
      <c r="E47" s="45"/>
      <c r="F47" s="45"/>
      <c r="G47" s="46"/>
      <c r="H47" s="53">
        <f t="shared" si="1"/>
        <v>2813.5428910669598</v>
      </c>
    </row>
    <row r="48" spans="1:8" x14ac:dyDescent="0.25">
      <c r="A48" s="15" t="s">
        <v>24</v>
      </c>
      <c r="B48" s="29"/>
      <c r="C48" s="29">
        <v>1805.6090469479998</v>
      </c>
      <c r="D48" s="29"/>
      <c r="E48" s="30"/>
      <c r="F48" s="30"/>
      <c r="G48" s="30"/>
      <c r="H48" s="31">
        <f t="shared" si="1"/>
        <v>1805.6090469479998</v>
      </c>
    </row>
    <row r="49" spans="1:8" x14ac:dyDescent="0.25">
      <c r="A49" s="15" t="s">
        <v>43</v>
      </c>
      <c r="B49" s="29"/>
      <c r="C49" s="29">
        <v>8.1638290159999993</v>
      </c>
      <c r="D49" s="29">
        <v>4.6358885350000003</v>
      </c>
      <c r="E49" s="30"/>
      <c r="F49" s="30"/>
      <c r="G49" s="30"/>
      <c r="H49" s="31">
        <f t="shared" si="1"/>
        <v>12.799717551000001</v>
      </c>
    </row>
    <row r="50" spans="1:8" x14ac:dyDescent="0.25">
      <c r="A50" s="15" t="s">
        <v>25</v>
      </c>
      <c r="B50" s="33">
        <v>4.129308</v>
      </c>
      <c r="C50" s="33">
        <v>13.483479472959999</v>
      </c>
      <c r="D50" s="33">
        <v>16.095058550000001</v>
      </c>
      <c r="E50" s="30"/>
      <c r="F50" s="30"/>
      <c r="G50" s="30"/>
      <c r="H50" s="34">
        <f t="shared" si="1"/>
        <v>33.707846022959998</v>
      </c>
    </row>
    <row r="51" spans="1:8" x14ac:dyDescent="0.25">
      <c r="A51" s="15" t="s">
        <v>42</v>
      </c>
      <c r="B51" s="30"/>
      <c r="C51" s="33">
        <v>865.56945948900011</v>
      </c>
      <c r="D51" s="33">
        <v>78.731187299999988</v>
      </c>
      <c r="E51" s="30"/>
      <c r="F51" s="30"/>
      <c r="G51" s="30"/>
      <c r="H51" s="34">
        <f t="shared" si="1"/>
        <v>944.3006467890001</v>
      </c>
    </row>
    <row r="52" spans="1:8" ht="13" thickBot="1" x14ac:dyDescent="0.3">
      <c r="A52" s="15" t="s">
        <v>44</v>
      </c>
      <c r="B52" s="33"/>
      <c r="C52" s="33">
        <v>17.125633755999999</v>
      </c>
      <c r="D52" s="33"/>
      <c r="E52" s="30"/>
      <c r="F52" s="30"/>
      <c r="G52" s="30"/>
      <c r="H52" s="34">
        <f t="shared" si="1"/>
        <v>17.125633755999999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>
    <pageSetUpPr fitToPage="1"/>
  </sheetPr>
  <dimension ref="A1:H53"/>
  <sheetViews>
    <sheetView topLeftCell="A5" zoomScaleNormal="100" workbookViewId="0">
      <selection activeCell="B38" sqref="B38:D45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55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37222.082861787145</v>
      </c>
      <c r="C7" s="203">
        <f t="shared" ref="C7:G7" si="0">SUM(C8,C18,C27,C37,C47,C53)</f>
        <v>6569.7242510101532</v>
      </c>
      <c r="D7" s="203">
        <f t="shared" si="0"/>
        <v>1460.7586669537707</v>
      </c>
      <c r="E7" s="203">
        <f t="shared" si="0"/>
        <v>3943.3307912902001</v>
      </c>
      <c r="F7" s="203">
        <f t="shared" si="0"/>
        <v>1.0236297199999999E-2</v>
      </c>
      <c r="G7" s="203">
        <f t="shared" si="0"/>
        <v>19.873502677499999</v>
      </c>
      <c r="H7" s="204">
        <f>SUM(B7:G7)</f>
        <v>49215.780310015973</v>
      </c>
    </row>
    <row r="8" spans="1:8" ht="13" thickTop="1" x14ac:dyDescent="0.25">
      <c r="A8" s="14" t="s">
        <v>5</v>
      </c>
      <c r="B8" s="25">
        <f>SUM(B9,B15)</f>
        <v>32408.828161365822</v>
      </c>
      <c r="C8" s="25">
        <f>SUM(C9,C15)</f>
        <v>451.34087543792276</v>
      </c>
      <c r="D8" s="25">
        <f>SUM(D9,D15)</f>
        <v>348.16795123877046</v>
      </c>
      <c r="E8" s="26"/>
      <c r="F8" s="26"/>
      <c r="G8" s="27"/>
      <c r="H8" s="28">
        <f t="shared" ref="H8:H53" si="1">SUM(B8:G8)</f>
        <v>33208.336988042516</v>
      </c>
    </row>
    <row r="9" spans="1:8" x14ac:dyDescent="0.25">
      <c r="A9" s="15" t="s">
        <v>6</v>
      </c>
      <c r="B9" s="29">
        <f>SUM(B10:B14)</f>
        <v>32345.478213727736</v>
      </c>
      <c r="C9" s="29">
        <f>SUM(C10:C14)</f>
        <v>318.54796512579344</v>
      </c>
      <c r="D9" s="29">
        <f>SUM(D10:D14)</f>
        <v>348.03285612708606</v>
      </c>
      <c r="E9" s="30"/>
      <c r="F9" s="30"/>
      <c r="G9" s="30"/>
      <c r="H9" s="31">
        <f t="shared" si="1"/>
        <v>33012.059034980615</v>
      </c>
    </row>
    <row r="10" spans="1:8" x14ac:dyDescent="0.25">
      <c r="A10" s="32" t="s">
        <v>7</v>
      </c>
      <c r="B10" s="33">
        <v>3285.7280889690646</v>
      </c>
      <c r="C10" s="33">
        <v>2.0144542065783355</v>
      </c>
      <c r="D10" s="33">
        <v>15.56828522324637</v>
      </c>
      <c r="E10" s="30"/>
      <c r="F10" s="30"/>
      <c r="G10" s="30"/>
      <c r="H10" s="34">
        <f t="shared" si="1"/>
        <v>3303.310828398889</v>
      </c>
    </row>
    <row r="11" spans="1:8" x14ac:dyDescent="0.25">
      <c r="A11" s="32" t="s">
        <v>8</v>
      </c>
      <c r="B11" s="33">
        <v>12020.856651114831</v>
      </c>
      <c r="C11" s="33">
        <v>75.158440329881856</v>
      </c>
      <c r="D11" s="33">
        <v>36.755744771862531</v>
      </c>
      <c r="E11" s="30"/>
      <c r="F11" s="30"/>
      <c r="G11" s="30"/>
      <c r="H11" s="34">
        <f t="shared" si="1"/>
        <v>12132.770836216576</v>
      </c>
    </row>
    <row r="12" spans="1:8" x14ac:dyDescent="0.25">
      <c r="A12" s="32" t="s">
        <v>9</v>
      </c>
      <c r="B12" s="33">
        <v>12145.190973643839</v>
      </c>
      <c r="C12" s="35">
        <v>83.577014145333266</v>
      </c>
      <c r="D12" s="33">
        <v>270.48076306197714</v>
      </c>
      <c r="E12" s="30"/>
      <c r="F12" s="30"/>
      <c r="G12" s="30"/>
      <c r="H12" s="34">
        <f t="shared" si="1"/>
        <v>12499.248750851151</v>
      </c>
    </row>
    <row r="13" spans="1:8" x14ac:dyDescent="0.25">
      <c r="A13" s="32" t="s">
        <v>10</v>
      </c>
      <c r="B13" s="33">
        <v>4847.5293550000006</v>
      </c>
      <c r="C13" s="33">
        <v>157.74302740000002</v>
      </c>
      <c r="D13" s="33">
        <v>24.874690870000002</v>
      </c>
      <c r="E13" s="30"/>
      <c r="F13" s="30"/>
      <c r="G13" s="30"/>
      <c r="H13" s="34">
        <f t="shared" si="1"/>
        <v>5030.1470732700009</v>
      </c>
    </row>
    <row r="14" spans="1:8" x14ac:dyDescent="0.25">
      <c r="A14" s="32" t="s">
        <v>11</v>
      </c>
      <c r="B14" s="33">
        <v>46.173145000000005</v>
      </c>
      <c r="C14" s="33">
        <v>5.5029043999999999E-2</v>
      </c>
      <c r="D14" s="33">
        <v>0.35337219999999997</v>
      </c>
      <c r="E14" s="30"/>
      <c r="F14" s="30"/>
      <c r="G14" s="30"/>
      <c r="H14" s="34">
        <f t="shared" si="1"/>
        <v>46.581546244000009</v>
      </c>
    </row>
    <row r="15" spans="1:8" x14ac:dyDescent="0.25">
      <c r="A15" s="15" t="s">
        <v>12</v>
      </c>
      <c r="B15" s="33">
        <f>SUM(B16:B17)</f>
        <v>63.349947638083947</v>
      </c>
      <c r="C15" s="33">
        <f>SUM(C16:C17)</f>
        <v>132.79291031212932</v>
      </c>
      <c r="D15" s="33">
        <f>SUM(D16:D17)</f>
        <v>0.13509511168441199</v>
      </c>
      <c r="E15" s="30"/>
      <c r="F15" s="30"/>
      <c r="G15" s="30"/>
      <c r="H15" s="34">
        <f t="shared" si="1"/>
        <v>196.2779530618977</v>
      </c>
    </row>
    <row r="16" spans="1:8" x14ac:dyDescent="0.25">
      <c r="A16" s="32" t="s">
        <v>13</v>
      </c>
      <c r="B16" s="33"/>
      <c r="C16" s="33">
        <v>36.783932640000003</v>
      </c>
      <c r="D16" s="33"/>
      <c r="E16" s="30"/>
      <c r="F16" s="30"/>
      <c r="G16" s="30"/>
      <c r="H16" s="34">
        <f t="shared" si="1"/>
        <v>36.783932640000003</v>
      </c>
    </row>
    <row r="17" spans="1:8" ht="13" thickBot="1" x14ac:dyDescent="0.3">
      <c r="A17" s="36" t="s">
        <v>14</v>
      </c>
      <c r="B17" s="37">
        <v>63.349947638083947</v>
      </c>
      <c r="C17" s="37">
        <v>96.008977672129319</v>
      </c>
      <c r="D17" s="37">
        <v>0.13509511168441199</v>
      </c>
      <c r="E17" s="38"/>
      <c r="F17" s="38"/>
      <c r="G17" s="38"/>
      <c r="H17" s="39">
        <f t="shared" si="1"/>
        <v>159.49402042189769</v>
      </c>
    </row>
    <row r="18" spans="1:8" x14ac:dyDescent="0.25">
      <c r="A18" s="14" t="s">
        <v>15</v>
      </c>
      <c r="B18" s="40">
        <f t="shared" ref="B18:G18" si="2">SUM(B19:B26)</f>
        <v>4801.7181774213186</v>
      </c>
      <c r="C18" s="40">
        <f t="shared" si="2"/>
        <v>67.714128440000096</v>
      </c>
      <c r="D18" s="40">
        <f t="shared" si="2"/>
        <v>124.87601386499999</v>
      </c>
      <c r="E18" s="40">
        <f t="shared" si="2"/>
        <v>3943.3307912902001</v>
      </c>
      <c r="F18" s="40">
        <f t="shared" si="2"/>
        <v>1.0236297199999999E-2</v>
      </c>
      <c r="G18" s="41">
        <f t="shared" si="2"/>
        <v>19.873502677499999</v>
      </c>
      <c r="H18" s="28">
        <f t="shared" si="1"/>
        <v>8957.5228499912173</v>
      </c>
    </row>
    <row r="19" spans="1:8" x14ac:dyDescent="0.25">
      <c r="A19" s="15" t="s">
        <v>16</v>
      </c>
      <c r="B19" s="29">
        <v>3557.5038634424545</v>
      </c>
      <c r="C19" s="29"/>
      <c r="D19" s="29"/>
      <c r="E19" s="42"/>
      <c r="F19" s="42"/>
      <c r="G19" s="42"/>
      <c r="H19" s="31">
        <f t="shared" si="1"/>
        <v>3557.5038634424545</v>
      </c>
    </row>
    <row r="20" spans="1:8" x14ac:dyDescent="0.25">
      <c r="A20" s="15" t="s">
        <v>17</v>
      </c>
      <c r="B20" s="33">
        <v>1181.2998619788641</v>
      </c>
      <c r="C20" s="33">
        <v>67.714128440000096</v>
      </c>
      <c r="D20" s="33">
        <v>24.0885</v>
      </c>
      <c r="E20" s="33">
        <v>3943.2000040424</v>
      </c>
      <c r="F20" s="33"/>
      <c r="G20" s="33"/>
      <c r="H20" s="34">
        <f t="shared" si="1"/>
        <v>5216.3024944612644</v>
      </c>
    </row>
    <row r="21" spans="1:8" x14ac:dyDescent="0.25">
      <c r="A21" s="15" t="s">
        <v>18</v>
      </c>
      <c r="B21" s="33">
        <v>29.331289999999999</v>
      </c>
      <c r="C21" s="33"/>
      <c r="D21" s="33"/>
      <c r="E21" s="30"/>
      <c r="F21" s="33"/>
      <c r="G21" s="43"/>
      <c r="H21" s="34">
        <f t="shared" si="1"/>
        <v>29.331289999999999</v>
      </c>
    </row>
    <row r="22" spans="1:8" x14ac:dyDescent="0.25">
      <c r="A22" s="15" t="s">
        <v>32</v>
      </c>
      <c r="B22" s="33">
        <v>33.583162000000002</v>
      </c>
      <c r="C22" s="33"/>
      <c r="D22" s="33"/>
      <c r="E22" s="30"/>
      <c r="F22" s="30"/>
      <c r="G22" s="30"/>
      <c r="H22" s="34">
        <f t="shared" si="1"/>
        <v>33.583162000000002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>
        <v>0.13078724780000001</v>
      </c>
      <c r="F24" s="33">
        <v>1.0236297199999999E-2</v>
      </c>
      <c r="G24" s="33"/>
      <c r="H24" s="34">
        <f t="shared" si="1"/>
        <v>0.141023545</v>
      </c>
    </row>
    <row r="25" spans="1:8" x14ac:dyDescent="0.25">
      <c r="A25" s="15" t="s">
        <v>34</v>
      </c>
      <c r="B25" s="33"/>
      <c r="C25" s="33"/>
      <c r="D25" s="33">
        <v>100.78751386499999</v>
      </c>
      <c r="E25" s="33"/>
      <c r="F25" s="33"/>
      <c r="G25" s="33">
        <v>19.873502677499999</v>
      </c>
      <c r="H25" s="34">
        <f t="shared" si="1"/>
        <v>120.66101654249999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7.3437130000000002</v>
      </c>
      <c r="C27" s="40">
        <f>SUM(C28:C36)</f>
        <v>3402.3252917919999</v>
      </c>
      <c r="D27" s="40">
        <f>SUM(D28:D36)</f>
        <v>890.32936637</v>
      </c>
      <c r="E27" s="45"/>
      <c r="F27" s="45"/>
      <c r="G27" s="46"/>
      <c r="H27" s="28">
        <f t="shared" si="1"/>
        <v>4299.9983711619998</v>
      </c>
    </row>
    <row r="28" spans="1:8" x14ac:dyDescent="0.25">
      <c r="A28" s="15" t="s">
        <v>19</v>
      </c>
      <c r="B28" s="42"/>
      <c r="C28" s="29">
        <v>1377.1656663799999</v>
      </c>
      <c r="D28" s="47"/>
      <c r="E28" s="30"/>
      <c r="F28" s="30"/>
      <c r="G28" s="30"/>
      <c r="H28" s="31">
        <f t="shared" si="1"/>
        <v>1377.1656663799999</v>
      </c>
    </row>
    <row r="29" spans="1:8" x14ac:dyDescent="0.25">
      <c r="A29" s="15" t="s">
        <v>20</v>
      </c>
      <c r="B29" s="30"/>
      <c r="C29" s="33">
        <v>1869.079170644</v>
      </c>
      <c r="D29" s="33">
        <v>419.50590898999997</v>
      </c>
      <c r="E29" s="30"/>
      <c r="F29" s="30"/>
      <c r="G29" s="30"/>
      <c r="H29" s="34">
        <f t="shared" si="1"/>
        <v>2288.5850796340001</v>
      </c>
    </row>
    <row r="30" spans="1:8" x14ac:dyDescent="0.25">
      <c r="A30" s="15" t="s">
        <v>21</v>
      </c>
      <c r="B30" s="30"/>
      <c r="C30" s="33">
        <v>125.20271674399999</v>
      </c>
      <c r="D30" s="48"/>
      <c r="E30" s="30"/>
      <c r="F30" s="30"/>
      <c r="G30" s="30"/>
      <c r="H30" s="34">
        <f t="shared" si="1"/>
        <v>125.20271674399999</v>
      </c>
    </row>
    <row r="31" spans="1:8" x14ac:dyDescent="0.25">
      <c r="A31" s="15" t="s">
        <v>22</v>
      </c>
      <c r="B31" s="49"/>
      <c r="C31" s="33"/>
      <c r="D31" s="33">
        <v>463.246974615</v>
      </c>
      <c r="E31" s="30"/>
      <c r="F31" s="30"/>
      <c r="G31" s="30"/>
      <c r="H31" s="34">
        <f t="shared" si="1"/>
        <v>463.246974615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30.877738023999999</v>
      </c>
      <c r="D33" s="33">
        <v>7.5764827649999997</v>
      </c>
      <c r="E33" s="30"/>
      <c r="F33" s="30"/>
      <c r="G33" s="30"/>
      <c r="H33" s="34">
        <f t="shared" si="1"/>
        <v>38.454220788999997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5.6915100000000001</v>
      </c>
      <c r="C35" s="50"/>
      <c r="D35" s="50"/>
      <c r="E35" s="51"/>
      <c r="F35" s="51"/>
      <c r="G35" s="51"/>
      <c r="H35" s="52">
        <f t="shared" si="1"/>
        <v>5.6915100000000001</v>
      </c>
    </row>
    <row r="36" spans="1:8" ht="13" thickBot="1" x14ac:dyDescent="0.3">
      <c r="A36" s="16" t="s">
        <v>48</v>
      </c>
      <c r="B36" s="37">
        <v>1.6522030000000001</v>
      </c>
      <c r="C36" s="37"/>
      <c r="D36" s="37"/>
      <c r="E36" s="38"/>
      <c r="F36" s="38"/>
      <c r="G36" s="38"/>
      <c r="H36" s="39">
        <f t="shared" si="1"/>
        <v>1.6522030000000001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4.1928099999999997</v>
      </c>
      <c r="C47" s="40">
        <f>SUM(C48:C52)</f>
        <v>2648.34395534023</v>
      </c>
      <c r="D47" s="40">
        <f>SUM(D48:D52)</f>
        <v>97.385335480000009</v>
      </c>
      <c r="E47" s="45"/>
      <c r="F47" s="45"/>
      <c r="G47" s="46"/>
      <c r="H47" s="53">
        <f t="shared" si="1"/>
        <v>2749.9221008202298</v>
      </c>
    </row>
    <row r="48" spans="1:8" x14ac:dyDescent="0.25">
      <c r="A48" s="15" t="s">
        <v>24</v>
      </c>
      <c r="B48" s="29"/>
      <c r="C48" s="29">
        <v>1721.929646668</v>
      </c>
      <c r="D48" s="29"/>
      <c r="E48" s="30"/>
      <c r="F48" s="30"/>
      <c r="G48" s="30"/>
      <c r="H48" s="31">
        <f t="shared" si="1"/>
        <v>1721.929646668</v>
      </c>
    </row>
    <row r="49" spans="1:8" x14ac:dyDescent="0.25">
      <c r="A49" s="15" t="s">
        <v>43</v>
      </c>
      <c r="B49" s="29"/>
      <c r="C49" s="29">
        <v>8.1638290159999993</v>
      </c>
      <c r="D49" s="29">
        <v>4.6358885350000003</v>
      </c>
      <c r="E49" s="30"/>
      <c r="F49" s="30"/>
      <c r="G49" s="30"/>
      <c r="H49" s="31">
        <f t="shared" si="1"/>
        <v>12.799717551000001</v>
      </c>
    </row>
    <row r="50" spans="1:8" x14ac:dyDescent="0.25">
      <c r="A50" s="15" t="s">
        <v>25</v>
      </c>
      <c r="B50" s="33">
        <v>4.1928099999999997</v>
      </c>
      <c r="C50" s="33">
        <v>9.9024402584800004</v>
      </c>
      <c r="D50" s="33">
        <v>12.305357945000001</v>
      </c>
      <c r="E50" s="30"/>
      <c r="F50" s="30"/>
      <c r="G50" s="30"/>
      <c r="H50" s="34">
        <f t="shared" si="1"/>
        <v>26.400608203480001</v>
      </c>
    </row>
    <row r="51" spans="1:8" x14ac:dyDescent="0.25">
      <c r="A51" s="15" t="s">
        <v>42</v>
      </c>
      <c r="B51" s="30"/>
      <c r="C51" s="33">
        <v>888.37147386574998</v>
      </c>
      <c r="D51" s="33">
        <v>80.444089000000005</v>
      </c>
      <c r="E51" s="30"/>
      <c r="F51" s="30"/>
      <c r="G51" s="30"/>
      <c r="H51" s="34">
        <f t="shared" si="1"/>
        <v>968.81556286574994</v>
      </c>
    </row>
    <row r="52" spans="1:8" ht="13" thickBot="1" x14ac:dyDescent="0.3">
      <c r="A52" s="15" t="s">
        <v>44</v>
      </c>
      <c r="B52" s="33"/>
      <c r="C52" s="33">
        <v>19.976565532000002</v>
      </c>
      <c r="D52" s="33"/>
      <c r="E52" s="30"/>
      <c r="F52" s="30"/>
      <c r="G52" s="30"/>
      <c r="H52" s="34">
        <f t="shared" si="1"/>
        <v>19.976565532000002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>
    <pageSetUpPr fitToPage="1"/>
  </sheetPr>
  <dimension ref="A1:H53"/>
  <sheetViews>
    <sheetView topLeftCell="A13" workbookViewId="0">
      <selection activeCell="B38" sqref="B38:D45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54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32797.918631145949</v>
      </c>
      <c r="C7" s="203">
        <f t="shared" ref="C7:G7" si="0">SUM(C8,C18,C27,C37,C47,C53)</f>
        <v>6221.6732989952679</v>
      </c>
      <c r="D7" s="203">
        <f t="shared" si="0"/>
        <v>1406.0246763054781</v>
      </c>
      <c r="E7" s="203">
        <f t="shared" si="0"/>
        <v>3211.6000044143998</v>
      </c>
      <c r="F7" s="203">
        <f t="shared" si="0"/>
        <v>0</v>
      </c>
      <c r="G7" s="203">
        <f t="shared" si="0"/>
        <v>17.150814086</v>
      </c>
      <c r="H7" s="204">
        <f>SUM(B7:G7)</f>
        <v>43654.367424947093</v>
      </c>
    </row>
    <row r="8" spans="1:8" ht="13" thickTop="1" x14ac:dyDescent="0.25">
      <c r="A8" s="14" t="s">
        <v>5</v>
      </c>
      <c r="B8" s="25">
        <f>SUM(B9,B15)</f>
        <v>28435.534993306024</v>
      </c>
      <c r="C8" s="25">
        <f>SUM(C9,C15)</f>
        <v>395.30311767406761</v>
      </c>
      <c r="D8" s="25">
        <f>SUM(D9,D15)</f>
        <v>302.19867765047826</v>
      </c>
      <c r="E8" s="26"/>
      <c r="F8" s="26"/>
      <c r="G8" s="27"/>
      <c r="H8" s="28">
        <f t="shared" ref="H8:H53" si="1">SUM(B8:G8)</f>
        <v>29133.036788630568</v>
      </c>
    </row>
    <row r="9" spans="1:8" x14ac:dyDescent="0.25">
      <c r="A9" s="15" t="s">
        <v>6</v>
      </c>
      <c r="B9" s="29">
        <f>SUM(B10:B14)</f>
        <v>28360.088946884702</v>
      </c>
      <c r="C9" s="29">
        <f>SUM(C10:C14)</f>
        <v>262.45431558065178</v>
      </c>
      <c r="D9" s="29">
        <f>SUM(D10:D14)</f>
        <v>302.03174068379695</v>
      </c>
      <c r="E9" s="30"/>
      <c r="F9" s="30"/>
      <c r="G9" s="30"/>
      <c r="H9" s="31">
        <f t="shared" si="1"/>
        <v>28924.575003149152</v>
      </c>
    </row>
    <row r="10" spans="1:8" x14ac:dyDescent="0.25">
      <c r="A10" s="32" t="s">
        <v>7</v>
      </c>
      <c r="B10" s="33">
        <v>2896.9110782259395</v>
      </c>
      <c r="C10" s="33">
        <v>1.8875386960795675</v>
      </c>
      <c r="D10" s="33">
        <v>12.730829956838043</v>
      </c>
      <c r="E10" s="30"/>
      <c r="F10" s="30"/>
      <c r="G10" s="30"/>
      <c r="H10" s="34">
        <f t="shared" si="1"/>
        <v>2911.529446878857</v>
      </c>
    </row>
    <row r="11" spans="1:8" x14ac:dyDescent="0.25">
      <c r="A11" s="32" t="s">
        <v>8</v>
      </c>
      <c r="B11" s="33">
        <v>9382.063589447007</v>
      </c>
      <c r="C11" s="33">
        <v>49.350332417487785</v>
      </c>
      <c r="D11" s="33">
        <v>28.720243802366205</v>
      </c>
      <c r="E11" s="30"/>
      <c r="F11" s="30"/>
      <c r="G11" s="30"/>
      <c r="H11" s="34">
        <f t="shared" si="1"/>
        <v>9460.134165666861</v>
      </c>
    </row>
    <row r="12" spans="1:8" x14ac:dyDescent="0.25">
      <c r="A12" s="32" t="s">
        <v>9</v>
      </c>
      <c r="B12" s="33">
        <v>12091.297538211751</v>
      </c>
      <c r="C12" s="35">
        <v>93.353056139084416</v>
      </c>
      <c r="D12" s="33">
        <v>237.33365189959272</v>
      </c>
      <c r="E12" s="30"/>
      <c r="F12" s="30"/>
      <c r="G12" s="30"/>
      <c r="H12" s="34">
        <f t="shared" si="1"/>
        <v>12421.984246250429</v>
      </c>
    </row>
    <row r="13" spans="1:8" x14ac:dyDescent="0.25">
      <c r="A13" s="32" t="s">
        <v>10</v>
      </c>
      <c r="B13" s="33">
        <v>3949.5492240000003</v>
      </c>
      <c r="C13" s="33">
        <v>117.81663037200002</v>
      </c>
      <c r="D13" s="33">
        <v>22.940637395</v>
      </c>
      <c r="E13" s="30"/>
      <c r="F13" s="30"/>
      <c r="G13" s="30"/>
      <c r="H13" s="34">
        <f t="shared" si="1"/>
        <v>4090.3064917670004</v>
      </c>
    </row>
    <row r="14" spans="1:8" x14ac:dyDescent="0.25">
      <c r="A14" s="32" t="s">
        <v>11</v>
      </c>
      <c r="B14" s="33">
        <v>40.267516999999998</v>
      </c>
      <c r="C14" s="33">
        <v>4.6757955999999996E-2</v>
      </c>
      <c r="D14" s="33">
        <v>0.30637763000000001</v>
      </c>
      <c r="E14" s="30"/>
      <c r="F14" s="30"/>
      <c r="G14" s="30"/>
      <c r="H14" s="34">
        <f t="shared" si="1"/>
        <v>40.620652585999999</v>
      </c>
    </row>
    <row r="15" spans="1:8" x14ac:dyDescent="0.25">
      <c r="A15" s="15" t="s">
        <v>12</v>
      </c>
      <c r="B15" s="33">
        <f>SUM(B16:B17)</f>
        <v>75.446046421323132</v>
      </c>
      <c r="C15" s="33">
        <f>SUM(C16:C17)</f>
        <v>132.84880209341586</v>
      </c>
      <c r="D15" s="33">
        <f>SUM(D16:D17)</f>
        <v>0.166936966681278</v>
      </c>
      <c r="E15" s="30"/>
      <c r="F15" s="30"/>
      <c r="G15" s="30"/>
      <c r="H15" s="34">
        <f t="shared" si="1"/>
        <v>208.46178548142026</v>
      </c>
    </row>
    <row r="16" spans="1:8" x14ac:dyDescent="0.25">
      <c r="A16" s="32" t="s">
        <v>13</v>
      </c>
      <c r="B16" s="33"/>
      <c r="C16" s="33">
        <v>35.145546799999998</v>
      </c>
      <c r="D16" s="33"/>
      <c r="E16" s="30"/>
      <c r="F16" s="30"/>
      <c r="G16" s="30"/>
      <c r="H16" s="34">
        <f t="shared" si="1"/>
        <v>35.145546799999998</v>
      </c>
    </row>
    <row r="17" spans="1:8" ht="13" thickBot="1" x14ac:dyDescent="0.3">
      <c r="A17" s="36" t="s">
        <v>14</v>
      </c>
      <c r="B17" s="37">
        <v>75.446046421323132</v>
      </c>
      <c r="C17" s="37">
        <v>97.70325529341585</v>
      </c>
      <c r="D17" s="37">
        <v>0.166936966681278</v>
      </c>
      <c r="E17" s="38"/>
      <c r="F17" s="38"/>
      <c r="G17" s="38"/>
      <c r="H17" s="39">
        <f t="shared" si="1"/>
        <v>173.31623868142026</v>
      </c>
    </row>
    <row r="18" spans="1:8" x14ac:dyDescent="0.25">
      <c r="A18" s="14" t="s">
        <v>15</v>
      </c>
      <c r="B18" s="40">
        <f t="shared" ref="B18:G18" si="2">SUM(B19:B26)</f>
        <v>4347.3288168399176</v>
      </c>
      <c r="C18" s="40">
        <f t="shared" si="2"/>
        <v>64.077664280000064</v>
      </c>
      <c r="D18" s="40">
        <f t="shared" si="2"/>
        <v>117.89336058999999</v>
      </c>
      <c r="E18" s="40">
        <f t="shared" si="2"/>
        <v>3211.6000044143998</v>
      </c>
      <c r="F18" s="40">
        <f t="shared" si="2"/>
        <v>0</v>
      </c>
      <c r="G18" s="41">
        <f t="shared" si="2"/>
        <v>17.150814086</v>
      </c>
      <c r="H18" s="28">
        <f t="shared" si="1"/>
        <v>7758.0506602103169</v>
      </c>
    </row>
    <row r="19" spans="1:8" x14ac:dyDescent="0.25">
      <c r="A19" s="15" t="s">
        <v>16</v>
      </c>
      <c r="B19" s="29">
        <v>3178.3327910981743</v>
      </c>
      <c r="C19" s="29"/>
      <c r="D19" s="29"/>
      <c r="E19" s="42"/>
      <c r="F19" s="42"/>
      <c r="G19" s="42"/>
      <c r="H19" s="31">
        <f t="shared" si="1"/>
        <v>3178.3327910981743</v>
      </c>
    </row>
    <row r="20" spans="1:8" x14ac:dyDescent="0.25">
      <c r="A20" s="15" t="s">
        <v>17</v>
      </c>
      <c r="B20" s="33">
        <v>1106.2674537417436</v>
      </c>
      <c r="C20" s="33">
        <v>64.077664280000064</v>
      </c>
      <c r="D20" s="33">
        <v>21.988745999999999</v>
      </c>
      <c r="E20" s="33">
        <v>3211.6000044143998</v>
      </c>
      <c r="F20" s="33"/>
      <c r="G20" s="33"/>
      <c r="H20" s="34">
        <f t="shared" si="1"/>
        <v>4403.9338684361437</v>
      </c>
    </row>
    <row r="21" spans="1:8" x14ac:dyDescent="0.25">
      <c r="A21" s="15" t="s">
        <v>18</v>
      </c>
      <c r="B21" s="33">
        <v>29.015511</v>
      </c>
      <c r="C21" s="33"/>
      <c r="D21" s="33"/>
      <c r="E21" s="30"/>
      <c r="F21" s="33"/>
      <c r="G21" s="43"/>
      <c r="H21" s="34">
        <f t="shared" si="1"/>
        <v>29.015511</v>
      </c>
    </row>
    <row r="22" spans="1:8" x14ac:dyDescent="0.25">
      <c r="A22" s="15" t="s">
        <v>32</v>
      </c>
      <c r="B22" s="33">
        <v>33.713060999999996</v>
      </c>
      <c r="C22" s="33"/>
      <c r="D22" s="33"/>
      <c r="E22" s="30"/>
      <c r="F22" s="30"/>
      <c r="G22" s="30"/>
      <c r="H22" s="34">
        <f t="shared" si="1"/>
        <v>33.713060999999996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/>
      <c r="F24" s="33"/>
      <c r="G24" s="33"/>
      <c r="H24" s="34">
        <f t="shared" si="1"/>
        <v>0</v>
      </c>
    </row>
    <row r="25" spans="1:8" x14ac:dyDescent="0.25">
      <c r="A25" s="15" t="s">
        <v>34</v>
      </c>
      <c r="B25" s="33"/>
      <c r="C25" s="33"/>
      <c r="D25" s="33">
        <v>95.904614589999994</v>
      </c>
      <c r="E25" s="33"/>
      <c r="F25" s="33"/>
      <c r="G25" s="33">
        <v>17.150814086</v>
      </c>
      <c r="H25" s="34">
        <f t="shared" si="1"/>
        <v>113.05542867599999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11.93882</v>
      </c>
      <c r="C27" s="40">
        <f>SUM(C28:C36)</f>
        <v>3170.9411658119998</v>
      </c>
      <c r="D27" s="40">
        <f>SUM(D28:D36)</f>
        <v>882.33834966999996</v>
      </c>
      <c r="E27" s="45"/>
      <c r="F27" s="45"/>
      <c r="G27" s="46"/>
      <c r="H27" s="28">
        <f t="shared" si="1"/>
        <v>4065.2183354819995</v>
      </c>
    </row>
    <row r="28" spans="1:8" x14ac:dyDescent="0.25">
      <c r="A28" s="15" t="s">
        <v>19</v>
      </c>
      <c r="B28" s="42"/>
      <c r="C28" s="29">
        <v>1247.1153010399998</v>
      </c>
      <c r="D28" s="47"/>
      <c r="E28" s="30"/>
      <c r="F28" s="30"/>
      <c r="G28" s="30"/>
      <c r="H28" s="31">
        <f t="shared" si="1"/>
        <v>1247.1153010399998</v>
      </c>
    </row>
    <row r="29" spans="1:8" x14ac:dyDescent="0.25">
      <c r="A29" s="15" t="s">
        <v>20</v>
      </c>
      <c r="B29" s="30"/>
      <c r="C29" s="33">
        <v>1777.9214655159999</v>
      </c>
      <c r="D29" s="33">
        <v>396.14129147</v>
      </c>
      <c r="E29" s="30"/>
      <c r="F29" s="30"/>
      <c r="G29" s="30"/>
      <c r="H29" s="34">
        <f t="shared" si="1"/>
        <v>2174.0627569859998</v>
      </c>
    </row>
    <row r="30" spans="1:8" x14ac:dyDescent="0.25">
      <c r="A30" s="15" t="s">
        <v>21</v>
      </c>
      <c r="B30" s="30"/>
      <c r="C30" s="33">
        <v>114.01367927599999</v>
      </c>
      <c r="D30" s="48"/>
      <c r="E30" s="30"/>
      <c r="F30" s="30"/>
      <c r="G30" s="30"/>
      <c r="H30" s="34">
        <f t="shared" si="1"/>
        <v>114.01367927599999</v>
      </c>
    </row>
    <row r="31" spans="1:8" x14ac:dyDescent="0.25">
      <c r="A31" s="15" t="s">
        <v>22</v>
      </c>
      <c r="B31" s="49"/>
      <c r="C31" s="33"/>
      <c r="D31" s="33">
        <v>478.372021335</v>
      </c>
      <c r="E31" s="30"/>
      <c r="F31" s="30"/>
      <c r="G31" s="30"/>
      <c r="H31" s="34">
        <f t="shared" si="1"/>
        <v>478.372021335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31.89071998</v>
      </c>
      <c r="D33" s="33">
        <v>7.8250368649999995</v>
      </c>
      <c r="E33" s="30"/>
      <c r="F33" s="30"/>
      <c r="G33" s="30"/>
      <c r="H33" s="34">
        <f t="shared" si="1"/>
        <v>39.715756845000001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9.251951</v>
      </c>
      <c r="C35" s="50"/>
      <c r="D35" s="50"/>
      <c r="E35" s="51"/>
      <c r="F35" s="51"/>
      <c r="G35" s="51"/>
      <c r="H35" s="52">
        <f t="shared" si="1"/>
        <v>9.251951</v>
      </c>
    </row>
    <row r="36" spans="1:8" ht="13" thickBot="1" x14ac:dyDescent="0.3">
      <c r="A36" s="16" t="s">
        <v>48</v>
      </c>
      <c r="B36" s="37">
        <v>2.6868689999999997</v>
      </c>
      <c r="C36" s="37"/>
      <c r="D36" s="37"/>
      <c r="E36" s="38"/>
      <c r="F36" s="38"/>
      <c r="G36" s="38"/>
      <c r="H36" s="39">
        <f t="shared" si="1"/>
        <v>2.6868689999999997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3.1160009999999998</v>
      </c>
      <c r="C47" s="40">
        <f>SUM(C48:C52)</f>
        <v>2591.3513512292006</v>
      </c>
      <c r="D47" s="40">
        <f>SUM(D48:D52)</f>
        <v>103.59428839499998</v>
      </c>
      <c r="E47" s="45"/>
      <c r="F47" s="45"/>
      <c r="G47" s="46"/>
      <c r="H47" s="53">
        <f t="shared" si="1"/>
        <v>2698.0616406242007</v>
      </c>
    </row>
    <row r="48" spans="1:8" x14ac:dyDescent="0.25">
      <c r="A48" s="15" t="s">
        <v>24</v>
      </c>
      <c r="B48" s="29"/>
      <c r="C48" s="29">
        <v>1634.7825514720003</v>
      </c>
      <c r="D48" s="29"/>
      <c r="E48" s="30"/>
      <c r="F48" s="30"/>
      <c r="G48" s="30"/>
      <c r="H48" s="31">
        <f t="shared" si="1"/>
        <v>1634.7825514720003</v>
      </c>
    </row>
    <row r="49" spans="1:8" x14ac:dyDescent="0.25">
      <c r="A49" s="15" t="s">
        <v>43</v>
      </c>
      <c r="B49" s="29"/>
      <c r="C49" s="29">
        <v>9.0996684800000001</v>
      </c>
      <c r="D49" s="29">
        <v>5.1673118499999999</v>
      </c>
      <c r="E49" s="30"/>
      <c r="F49" s="30"/>
      <c r="G49" s="30"/>
      <c r="H49" s="31">
        <f t="shared" si="1"/>
        <v>14.266980329999999</v>
      </c>
    </row>
    <row r="50" spans="1:8" x14ac:dyDescent="0.25">
      <c r="A50" s="15" t="s">
        <v>25</v>
      </c>
      <c r="B50" s="33">
        <v>3.1160009999999998</v>
      </c>
      <c r="C50" s="33">
        <v>10.040308681200001</v>
      </c>
      <c r="D50" s="33">
        <v>12.147258945000001</v>
      </c>
      <c r="E50" s="30"/>
      <c r="F50" s="30"/>
      <c r="G50" s="30"/>
      <c r="H50" s="34">
        <f t="shared" si="1"/>
        <v>25.303568626200001</v>
      </c>
    </row>
    <row r="51" spans="1:8" x14ac:dyDescent="0.25">
      <c r="A51" s="15" t="s">
        <v>42</v>
      </c>
      <c r="B51" s="30"/>
      <c r="C51" s="33">
        <v>914.05729674000008</v>
      </c>
      <c r="D51" s="33">
        <v>86.279717599999984</v>
      </c>
      <c r="E51" s="30"/>
      <c r="F51" s="30"/>
      <c r="G51" s="30"/>
      <c r="H51" s="34">
        <f t="shared" si="1"/>
        <v>1000.3370143400001</v>
      </c>
    </row>
    <row r="52" spans="1:8" ht="13" thickBot="1" x14ac:dyDescent="0.3">
      <c r="A52" s="15" t="s">
        <v>44</v>
      </c>
      <c r="B52" s="33"/>
      <c r="C52" s="33">
        <v>23.371525856000002</v>
      </c>
      <c r="D52" s="33"/>
      <c r="E52" s="30"/>
      <c r="F52" s="30"/>
      <c r="G52" s="30"/>
      <c r="H52" s="34">
        <f t="shared" si="1"/>
        <v>23.371525856000002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>
    <pageSetUpPr fitToPage="1"/>
  </sheetPr>
  <dimension ref="A1:H53"/>
  <sheetViews>
    <sheetView topLeftCell="A13" workbookViewId="0">
      <selection activeCell="B38" sqref="B38:D45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53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30217.657793278795</v>
      </c>
      <c r="C7" s="203">
        <f t="shared" ref="C7:G7" si="0">SUM(C8,C18,C27,C37,C47,C53)</f>
        <v>6034.7950192472654</v>
      </c>
      <c r="D7" s="203">
        <f t="shared" si="0"/>
        <v>1255.3811446185723</v>
      </c>
      <c r="E7" s="203">
        <f t="shared" si="0"/>
        <v>2393.2000039432</v>
      </c>
      <c r="F7" s="203">
        <f t="shared" si="0"/>
        <v>0</v>
      </c>
      <c r="G7" s="203">
        <f t="shared" si="0"/>
        <v>15.3461559085</v>
      </c>
      <c r="H7" s="204">
        <f>SUM(B7:G7)</f>
        <v>39916.380116996334</v>
      </c>
    </row>
    <row r="8" spans="1:8" ht="13" thickTop="1" x14ac:dyDescent="0.25">
      <c r="A8" s="14" t="s">
        <v>5</v>
      </c>
      <c r="B8" s="25">
        <f>SUM(B9,B15)</f>
        <v>26397.283087619544</v>
      </c>
      <c r="C8" s="25">
        <f>SUM(C9,C15)</f>
        <v>404.30641028015594</v>
      </c>
      <c r="D8" s="25">
        <f>SUM(D9,D15)</f>
        <v>192.47902335357239</v>
      </c>
      <c r="E8" s="26"/>
      <c r="F8" s="26"/>
      <c r="G8" s="27"/>
      <c r="H8" s="28">
        <f t="shared" ref="H8:H53" si="1">SUM(B8:G8)</f>
        <v>26994.06852125327</v>
      </c>
    </row>
    <row r="9" spans="1:8" x14ac:dyDescent="0.25">
      <c r="A9" s="15" t="s">
        <v>6</v>
      </c>
      <c r="B9" s="29">
        <f>SUM(B10:B14)</f>
        <v>26318.210718214861</v>
      </c>
      <c r="C9" s="29">
        <f>SUM(C10:C14)</f>
        <v>289.24700058867876</v>
      </c>
      <c r="D9" s="29">
        <f>SUM(D10:D14)</f>
        <v>192.30199591555737</v>
      </c>
      <c r="E9" s="30"/>
      <c r="F9" s="30"/>
      <c r="G9" s="30"/>
      <c r="H9" s="31">
        <f t="shared" si="1"/>
        <v>26799.759714719097</v>
      </c>
    </row>
    <row r="10" spans="1:8" x14ac:dyDescent="0.25">
      <c r="A10" s="32" t="s">
        <v>7</v>
      </c>
      <c r="B10" s="33">
        <v>2811.7657333783109</v>
      </c>
      <c r="C10" s="33">
        <v>1.7718086233318888</v>
      </c>
      <c r="D10" s="33">
        <v>12.69076183569145</v>
      </c>
      <c r="E10" s="30"/>
      <c r="F10" s="30"/>
      <c r="G10" s="30"/>
      <c r="H10" s="34">
        <f t="shared" si="1"/>
        <v>2826.2283038373339</v>
      </c>
    </row>
    <row r="11" spans="1:8" x14ac:dyDescent="0.25">
      <c r="A11" s="32" t="s">
        <v>8</v>
      </c>
      <c r="B11" s="33">
        <v>8019.6965187152182</v>
      </c>
      <c r="C11" s="33">
        <v>44.151360984102205</v>
      </c>
      <c r="D11" s="33">
        <v>27.813661484251963</v>
      </c>
      <c r="E11" s="30"/>
      <c r="F11" s="30"/>
      <c r="G11" s="30"/>
      <c r="H11" s="34">
        <f t="shared" si="1"/>
        <v>8091.6615411835728</v>
      </c>
    </row>
    <row r="12" spans="1:8" x14ac:dyDescent="0.25">
      <c r="A12" s="32" t="s">
        <v>9</v>
      </c>
      <c r="B12" s="33">
        <v>11192.007159121331</v>
      </c>
      <c r="C12" s="35">
        <v>93.739625917244638</v>
      </c>
      <c r="D12" s="33">
        <v>127.26062316561394</v>
      </c>
      <c r="E12" s="30"/>
      <c r="F12" s="30"/>
      <c r="G12" s="30"/>
      <c r="H12" s="34">
        <f t="shared" si="1"/>
        <v>11413.007408204188</v>
      </c>
    </row>
    <row r="13" spans="1:8" x14ac:dyDescent="0.25">
      <c r="A13" s="32" t="s">
        <v>10</v>
      </c>
      <c r="B13" s="33">
        <v>4254.2990360000003</v>
      </c>
      <c r="C13" s="33">
        <v>149.53411872000001</v>
      </c>
      <c r="D13" s="33">
        <v>24.24184331</v>
      </c>
      <c r="E13" s="30"/>
      <c r="F13" s="30"/>
      <c r="G13" s="30"/>
      <c r="H13" s="34">
        <f t="shared" si="1"/>
        <v>4428.0749980300006</v>
      </c>
    </row>
    <row r="14" spans="1:8" x14ac:dyDescent="0.25">
      <c r="A14" s="32" t="s">
        <v>11</v>
      </c>
      <c r="B14" s="33">
        <v>40.442270999999998</v>
      </c>
      <c r="C14" s="33">
        <v>5.0086343999999998E-2</v>
      </c>
      <c r="D14" s="33">
        <v>0.29510611999999992</v>
      </c>
      <c r="E14" s="30"/>
      <c r="F14" s="30"/>
      <c r="G14" s="30"/>
      <c r="H14" s="34">
        <f t="shared" si="1"/>
        <v>40.787463463999998</v>
      </c>
    </row>
    <row r="15" spans="1:8" x14ac:dyDescent="0.25">
      <c r="A15" s="15" t="s">
        <v>12</v>
      </c>
      <c r="B15" s="33">
        <f>SUM(B16:B17)</f>
        <v>79.072369404682462</v>
      </c>
      <c r="C15" s="33">
        <f>SUM(C16:C17)</f>
        <v>115.05940969147717</v>
      </c>
      <c r="D15" s="33">
        <f>SUM(D16:D17)</f>
        <v>0.177027438015018</v>
      </c>
      <c r="E15" s="30"/>
      <c r="F15" s="30"/>
      <c r="G15" s="30"/>
      <c r="H15" s="34">
        <f t="shared" si="1"/>
        <v>194.30880653417464</v>
      </c>
    </row>
    <row r="16" spans="1:8" x14ac:dyDescent="0.25">
      <c r="A16" s="32" t="s">
        <v>13</v>
      </c>
      <c r="B16" s="33"/>
      <c r="C16" s="33">
        <v>28.89709732</v>
      </c>
      <c r="D16" s="33"/>
      <c r="E16" s="30"/>
      <c r="F16" s="30"/>
      <c r="G16" s="30"/>
      <c r="H16" s="34">
        <f t="shared" si="1"/>
        <v>28.89709732</v>
      </c>
    </row>
    <row r="17" spans="1:8" ht="13" thickBot="1" x14ac:dyDescent="0.3">
      <c r="A17" s="36" t="s">
        <v>14</v>
      </c>
      <c r="B17" s="37">
        <v>79.072369404682462</v>
      </c>
      <c r="C17" s="37">
        <v>86.162312371477171</v>
      </c>
      <c r="D17" s="37">
        <v>0.177027438015018</v>
      </c>
      <c r="E17" s="38"/>
      <c r="F17" s="38"/>
      <c r="G17" s="38"/>
      <c r="H17" s="39">
        <f t="shared" si="1"/>
        <v>165.41170921417464</v>
      </c>
    </row>
    <row r="18" spans="1:8" x14ac:dyDescent="0.25">
      <c r="A18" s="14" t="s">
        <v>15</v>
      </c>
      <c r="B18" s="40">
        <f t="shared" ref="B18:G18" si="2">SUM(B19:B26)</f>
        <v>3807.8790576592528</v>
      </c>
      <c r="C18" s="40">
        <f t="shared" si="2"/>
        <v>71.275412320000115</v>
      </c>
      <c r="D18" s="40">
        <f t="shared" si="2"/>
        <v>107.87717917499999</v>
      </c>
      <c r="E18" s="40">
        <f t="shared" si="2"/>
        <v>2393.2000039432</v>
      </c>
      <c r="F18" s="40">
        <f t="shared" si="2"/>
        <v>0</v>
      </c>
      <c r="G18" s="41">
        <f t="shared" si="2"/>
        <v>15.3461559085</v>
      </c>
      <c r="H18" s="28">
        <f t="shared" si="1"/>
        <v>6395.577809005953</v>
      </c>
    </row>
    <row r="19" spans="1:8" x14ac:dyDescent="0.25">
      <c r="A19" s="15" t="s">
        <v>16</v>
      </c>
      <c r="B19" s="29">
        <v>2539.3624300100178</v>
      </c>
      <c r="C19" s="29"/>
      <c r="D19" s="29"/>
      <c r="E19" s="42"/>
      <c r="F19" s="42"/>
      <c r="G19" s="42"/>
      <c r="H19" s="31">
        <f t="shared" si="1"/>
        <v>2539.3624300100178</v>
      </c>
    </row>
    <row r="20" spans="1:8" x14ac:dyDescent="0.25">
      <c r="A20" s="15" t="s">
        <v>17</v>
      </c>
      <c r="B20" s="33">
        <v>1215.3366856492353</v>
      </c>
      <c r="C20" s="33">
        <v>71.275412320000115</v>
      </c>
      <c r="D20" s="33">
        <v>19.278431999999999</v>
      </c>
      <c r="E20" s="33">
        <v>2393.2000039432</v>
      </c>
      <c r="F20" s="33"/>
      <c r="G20" s="33"/>
      <c r="H20" s="34">
        <f t="shared" si="1"/>
        <v>3699.0905339124356</v>
      </c>
    </row>
    <row r="21" spans="1:8" x14ac:dyDescent="0.25">
      <c r="A21" s="15" t="s">
        <v>18</v>
      </c>
      <c r="B21" s="33">
        <v>27.447768999999997</v>
      </c>
      <c r="C21" s="33"/>
      <c r="D21" s="33"/>
      <c r="E21" s="30"/>
      <c r="F21" s="33"/>
      <c r="G21" s="43"/>
      <c r="H21" s="34">
        <f t="shared" si="1"/>
        <v>27.447768999999997</v>
      </c>
    </row>
    <row r="22" spans="1:8" x14ac:dyDescent="0.25">
      <c r="A22" s="15" t="s">
        <v>32</v>
      </c>
      <c r="B22" s="33">
        <v>25.732173000000003</v>
      </c>
      <c r="C22" s="33"/>
      <c r="D22" s="33"/>
      <c r="E22" s="30"/>
      <c r="F22" s="30"/>
      <c r="G22" s="30"/>
      <c r="H22" s="34">
        <f t="shared" si="1"/>
        <v>25.732173000000003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/>
      <c r="F24" s="33"/>
      <c r="G24" s="33"/>
      <c r="H24" s="34">
        <f t="shared" si="1"/>
        <v>0</v>
      </c>
    </row>
    <row r="25" spans="1:8" x14ac:dyDescent="0.25">
      <c r="A25" s="15" t="s">
        <v>34</v>
      </c>
      <c r="B25" s="33"/>
      <c r="C25" s="33"/>
      <c r="D25" s="33">
        <v>88.598747175</v>
      </c>
      <c r="E25" s="33"/>
      <c r="F25" s="33"/>
      <c r="G25" s="33">
        <v>15.3461559085</v>
      </c>
      <c r="H25" s="34">
        <f t="shared" si="1"/>
        <v>103.94490308349999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8.8557260000000007</v>
      </c>
      <c r="C27" s="40">
        <f>SUM(C28:C36)</f>
        <v>3068.1764400279999</v>
      </c>
      <c r="D27" s="40">
        <f>SUM(D28:D36)</f>
        <v>848.83436230500001</v>
      </c>
      <c r="E27" s="45"/>
      <c r="F27" s="45"/>
      <c r="G27" s="46"/>
      <c r="H27" s="28">
        <f t="shared" si="1"/>
        <v>3925.8665283329997</v>
      </c>
    </row>
    <row r="28" spans="1:8" x14ac:dyDescent="0.25">
      <c r="A28" s="15" t="s">
        <v>19</v>
      </c>
      <c r="B28" s="42"/>
      <c r="C28" s="29">
        <v>1197.261269008</v>
      </c>
      <c r="D28" s="47"/>
      <c r="E28" s="30"/>
      <c r="F28" s="30"/>
      <c r="G28" s="30"/>
      <c r="H28" s="31">
        <f t="shared" si="1"/>
        <v>1197.261269008</v>
      </c>
    </row>
    <row r="29" spans="1:8" x14ac:dyDescent="0.25">
      <c r="A29" s="15" t="s">
        <v>20</v>
      </c>
      <c r="B29" s="30"/>
      <c r="C29" s="33">
        <v>1711.5624280720001</v>
      </c>
      <c r="D29" s="33">
        <v>395.40624056499996</v>
      </c>
      <c r="E29" s="30"/>
      <c r="F29" s="30"/>
      <c r="G29" s="30"/>
      <c r="H29" s="34">
        <f t="shared" si="1"/>
        <v>2106.9686686370001</v>
      </c>
    </row>
    <row r="30" spans="1:8" x14ac:dyDescent="0.25">
      <c r="A30" s="15" t="s">
        <v>21</v>
      </c>
      <c r="B30" s="30"/>
      <c r="C30" s="33">
        <v>119.48313426</v>
      </c>
      <c r="D30" s="48"/>
      <c r="E30" s="30"/>
      <c r="F30" s="30"/>
      <c r="G30" s="30"/>
      <c r="H30" s="34">
        <f t="shared" si="1"/>
        <v>119.48313426</v>
      </c>
    </row>
    <row r="31" spans="1:8" x14ac:dyDescent="0.25">
      <c r="A31" s="15" t="s">
        <v>22</v>
      </c>
      <c r="B31" s="49"/>
      <c r="C31" s="33"/>
      <c r="D31" s="33">
        <v>443.64529985500002</v>
      </c>
      <c r="E31" s="30"/>
      <c r="F31" s="30"/>
      <c r="G31" s="30"/>
      <c r="H31" s="34">
        <f t="shared" si="1"/>
        <v>443.64529985500002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39.869608688</v>
      </c>
      <c r="D33" s="33">
        <v>9.7828218850000006</v>
      </c>
      <c r="E33" s="30"/>
      <c r="F33" s="30"/>
      <c r="G33" s="30"/>
      <c r="H33" s="34">
        <f t="shared" si="1"/>
        <v>49.652430573000004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7.0737140000000007</v>
      </c>
      <c r="C35" s="50"/>
      <c r="D35" s="50"/>
      <c r="E35" s="51"/>
      <c r="F35" s="51"/>
      <c r="G35" s="51"/>
      <c r="H35" s="52">
        <f t="shared" si="1"/>
        <v>7.0737140000000007</v>
      </c>
    </row>
    <row r="36" spans="1:8" ht="13" thickBot="1" x14ac:dyDescent="0.3">
      <c r="A36" s="16" t="s">
        <v>48</v>
      </c>
      <c r="B36" s="37">
        <v>1.7820119999999999</v>
      </c>
      <c r="C36" s="37"/>
      <c r="D36" s="37"/>
      <c r="E36" s="38"/>
      <c r="F36" s="38"/>
      <c r="G36" s="38"/>
      <c r="H36" s="39">
        <f t="shared" si="1"/>
        <v>1.7820119999999999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3.6399219999999999</v>
      </c>
      <c r="C47" s="40">
        <f>SUM(C48:C52)</f>
        <v>2491.0367566191098</v>
      </c>
      <c r="D47" s="40">
        <f>SUM(D48:D52)</f>
        <v>106.190579785</v>
      </c>
      <c r="E47" s="45"/>
      <c r="F47" s="45"/>
      <c r="G47" s="46"/>
      <c r="H47" s="53">
        <f t="shared" si="1"/>
        <v>2600.8672584041096</v>
      </c>
    </row>
    <row r="48" spans="1:8" x14ac:dyDescent="0.25">
      <c r="A48" s="15" t="s">
        <v>24</v>
      </c>
      <c r="B48" s="29"/>
      <c r="C48" s="29">
        <v>1554.4663308439997</v>
      </c>
      <c r="D48" s="29"/>
      <c r="E48" s="30"/>
      <c r="F48" s="30"/>
      <c r="G48" s="30"/>
      <c r="H48" s="31">
        <f t="shared" si="1"/>
        <v>1554.4663308439997</v>
      </c>
    </row>
    <row r="49" spans="1:8" x14ac:dyDescent="0.25">
      <c r="A49" s="15" t="s">
        <v>43</v>
      </c>
      <c r="B49" s="29"/>
      <c r="C49" s="29">
        <v>9.0996684800000001</v>
      </c>
      <c r="D49" s="29">
        <v>5.1673118499999999</v>
      </c>
      <c r="E49" s="30"/>
      <c r="F49" s="30"/>
      <c r="G49" s="30"/>
      <c r="H49" s="31">
        <f t="shared" si="1"/>
        <v>14.266980329999999</v>
      </c>
    </row>
    <row r="50" spans="1:8" x14ac:dyDescent="0.25">
      <c r="A50" s="15" t="s">
        <v>25</v>
      </c>
      <c r="B50" s="33">
        <v>3.6399219999999999</v>
      </c>
      <c r="C50" s="33">
        <v>11.669211543360001</v>
      </c>
      <c r="D50" s="33">
        <v>13.138275734999999</v>
      </c>
      <c r="E50" s="30"/>
      <c r="F50" s="30"/>
      <c r="G50" s="30"/>
      <c r="H50" s="34">
        <f t="shared" si="1"/>
        <v>28.447409278359999</v>
      </c>
    </row>
    <row r="51" spans="1:8" x14ac:dyDescent="0.25">
      <c r="A51" s="15" t="s">
        <v>42</v>
      </c>
      <c r="B51" s="30"/>
      <c r="C51" s="33">
        <v>888.50178663575002</v>
      </c>
      <c r="D51" s="33">
        <v>87.884992199999999</v>
      </c>
      <c r="E51" s="30"/>
      <c r="F51" s="30"/>
      <c r="G51" s="30"/>
      <c r="H51" s="34">
        <f t="shared" si="1"/>
        <v>976.38677883574996</v>
      </c>
    </row>
    <row r="52" spans="1:8" ht="13" thickBot="1" x14ac:dyDescent="0.3">
      <c r="A52" s="15" t="s">
        <v>44</v>
      </c>
      <c r="B52" s="33"/>
      <c r="C52" s="33">
        <v>27.299759115999997</v>
      </c>
      <c r="D52" s="33"/>
      <c r="E52" s="30"/>
      <c r="F52" s="30"/>
      <c r="G52" s="30"/>
      <c r="H52" s="34">
        <f t="shared" si="1"/>
        <v>27.299759115999997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>
    <pageSetUpPr fitToPage="1"/>
  </sheetPr>
  <dimension ref="A1:H53"/>
  <sheetViews>
    <sheetView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52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31286.750335699486</v>
      </c>
      <c r="C7" s="203">
        <f t="shared" ref="C7:G7" si="0">SUM(C8,C18,C27,C37,C47,C53)</f>
        <v>5955.6517578664152</v>
      </c>
      <c r="D7" s="203">
        <f t="shared" si="0"/>
        <v>1223.2690686310216</v>
      </c>
      <c r="E7" s="203">
        <f t="shared" si="0"/>
        <v>2814.8000013763999</v>
      </c>
      <c r="F7" s="203">
        <f t="shared" si="0"/>
        <v>0</v>
      </c>
      <c r="G7" s="203">
        <f t="shared" si="0"/>
        <v>14.5129930185</v>
      </c>
      <c r="H7" s="204">
        <f>SUM(B7:G7)</f>
        <v>41294.984156591825</v>
      </c>
    </row>
    <row r="8" spans="1:8" ht="13" thickTop="1" x14ac:dyDescent="0.25">
      <c r="A8" s="14" t="s">
        <v>5</v>
      </c>
      <c r="B8" s="25">
        <f>SUM(B9,B15)</f>
        <v>27639.438441907299</v>
      </c>
      <c r="C8" s="25">
        <f>SUM(C9,C15)</f>
        <v>378.88451974857281</v>
      </c>
      <c r="D8" s="25">
        <f>SUM(D9,D15)</f>
        <v>159.62004168602166</v>
      </c>
      <c r="E8" s="26"/>
      <c r="F8" s="26"/>
      <c r="G8" s="27"/>
      <c r="H8" s="28">
        <f t="shared" ref="H8:H53" si="1">SUM(B8:G8)</f>
        <v>28177.943003341894</v>
      </c>
    </row>
    <row r="9" spans="1:8" x14ac:dyDescent="0.25">
      <c r="A9" s="15" t="s">
        <v>6</v>
      </c>
      <c r="B9" s="29">
        <f>SUM(B10:B14)</f>
        <v>27550.931544137668</v>
      </c>
      <c r="C9" s="29">
        <f>SUM(C10:C14)</f>
        <v>268.30123363792046</v>
      </c>
      <c r="D9" s="29">
        <f>SUM(D10:D14)</f>
        <v>159.40900488260286</v>
      </c>
      <c r="E9" s="30"/>
      <c r="F9" s="30"/>
      <c r="G9" s="30"/>
      <c r="H9" s="31">
        <f t="shared" si="1"/>
        <v>27978.641782658193</v>
      </c>
    </row>
    <row r="10" spans="1:8" x14ac:dyDescent="0.25">
      <c r="A10" s="32" t="s">
        <v>7</v>
      </c>
      <c r="B10" s="33">
        <v>3694.2956465294164</v>
      </c>
      <c r="C10" s="33">
        <v>2.062091665408349</v>
      </c>
      <c r="D10" s="33">
        <v>15.09848277217039</v>
      </c>
      <c r="E10" s="30"/>
      <c r="F10" s="30"/>
      <c r="G10" s="30"/>
      <c r="H10" s="34">
        <f t="shared" si="1"/>
        <v>3711.4562209669953</v>
      </c>
    </row>
    <row r="11" spans="1:8" x14ac:dyDescent="0.25">
      <c r="A11" s="32" t="s">
        <v>8</v>
      </c>
      <c r="B11" s="33">
        <v>7832.1749216686021</v>
      </c>
      <c r="C11" s="33">
        <v>39.021675601883977</v>
      </c>
      <c r="D11" s="33">
        <v>29.45795078484031</v>
      </c>
      <c r="E11" s="30"/>
      <c r="F11" s="30"/>
      <c r="G11" s="30"/>
      <c r="H11" s="34">
        <f t="shared" si="1"/>
        <v>7900.6545480553259</v>
      </c>
    </row>
    <row r="12" spans="1:8" x14ac:dyDescent="0.25">
      <c r="A12" s="32" t="s">
        <v>9</v>
      </c>
      <c r="B12" s="33">
        <v>11787.282894939646</v>
      </c>
      <c r="C12" s="35">
        <v>108.97875083862812</v>
      </c>
      <c r="D12" s="33">
        <v>91.629121955592154</v>
      </c>
      <c r="E12" s="30"/>
      <c r="F12" s="30"/>
      <c r="G12" s="30"/>
      <c r="H12" s="34">
        <f t="shared" si="1"/>
        <v>11987.890767733867</v>
      </c>
    </row>
    <row r="13" spans="1:8" x14ac:dyDescent="0.25">
      <c r="A13" s="32" t="s">
        <v>10</v>
      </c>
      <c r="B13" s="33">
        <v>4192.3073650000006</v>
      </c>
      <c r="C13" s="33">
        <v>118.175780632</v>
      </c>
      <c r="D13" s="33">
        <v>22.90129258</v>
      </c>
      <c r="E13" s="30"/>
      <c r="F13" s="30"/>
      <c r="G13" s="30"/>
      <c r="H13" s="34">
        <f t="shared" si="1"/>
        <v>4333.3844382120005</v>
      </c>
    </row>
    <row r="14" spans="1:8" x14ac:dyDescent="0.25">
      <c r="A14" s="32" t="s">
        <v>11</v>
      </c>
      <c r="B14" s="33">
        <v>44.870716000000002</v>
      </c>
      <c r="C14" s="33">
        <v>6.2934900000000002E-2</v>
      </c>
      <c r="D14" s="33">
        <v>0.32215679000000003</v>
      </c>
      <c r="E14" s="30"/>
      <c r="F14" s="30"/>
      <c r="G14" s="30"/>
      <c r="H14" s="34">
        <f t="shared" si="1"/>
        <v>45.255807690000005</v>
      </c>
    </row>
    <row r="15" spans="1:8" x14ac:dyDescent="0.25">
      <c r="A15" s="15" t="s">
        <v>12</v>
      </c>
      <c r="B15" s="33">
        <f>SUM(B16:B17)</f>
        <v>88.506897769632189</v>
      </c>
      <c r="C15" s="33">
        <f>SUM(C16:C17)</f>
        <v>110.58328611065235</v>
      </c>
      <c r="D15" s="33">
        <f>SUM(D16:D17)</f>
        <v>0.21103680341879999</v>
      </c>
      <c r="E15" s="30"/>
      <c r="F15" s="30"/>
      <c r="G15" s="30"/>
      <c r="H15" s="34">
        <f t="shared" si="1"/>
        <v>199.30122068370335</v>
      </c>
    </row>
    <row r="16" spans="1:8" x14ac:dyDescent="0.25">
      <c r="A16" s="32" t="s">
        <v>13</v>
      </c>
      <c r="B16" s="33"/>
      <c r="C16" s="33">
        <v>26.906670699999999</v>
      </c>
      <c r="D16" s="33"/>
      <c r="E16" s="30"/>
      <c r="F16" s="30"/>
      <c r="G16" s="30"/>
      <c r="H16" s="34">
        <f t="shared" si="1"/>
        <v>26.906670699999999</v>
      </c>
    </row>
    <row r="17" spans="1:8" ht="13" thickBot="1" x14ac:dyDescent="0.3">
      <c r="A17" s="36" t="s">
        <v>14</v>
      </c>
      <c r="B17" s="37">
        <v>88.506897769632189</v>
      </c>
      <c r="C17" s="37">
        <v>83.67661541065236</v>
      </c>
      <c r="D17" s="37">
        <v>0.21103680341879999</v>
      </c>
      <c r="E17" s="38"/>
      <c r="F17" s="38"/>
      <c r="G17" s="38"/>
      <c r="H17" s="39">
        <f t="shared" si="1"/>
        <v>172.39454998370334</v>
      </c>
    </row>
    <row r="18" spans="1:8" x14ac:dyDescent="0.25">
      <c r="A18" s="14" t="s">
        <v>15</v>
      </c>
      <c r="B18" s="40">
        <f t="shared" ref="B18:G18" si="2">SUM(B19:B26)</f>
        <v>3632.4711677921878</v>
      </c>
      <c r="C18" s="40">
        <f t="shared" si="2"/>
        <v>65.726884160032412</v>
      </c>
      <c r="D18" s="40">
        <f t="shared" si="2"/>
        <v>110.244581055</v>
      </c>
      <c r="E18" s="40">
        <f t="shared" si="2"/>
        <v>2814.8000013763999</v>
      </c>
      <c r="F18" s="40">
        <f t="shared" si="2"/>
        <v>0</v>
      </c>
      <c r="G18" s="41">
        <f t="shared" si="2"/>
        <v>14.5129930185</v>
      </c>
      <c r="H18" s="28">
        <f t="shared" si="1"/>
        <v>6637.7556274021199</v>
      </c>
    </row>
    <row r="19" spans="1:8" x14ac:dyDescent="0.25">
      <c r="A19" s="15" t="s">
        <v>16</v>
      </c>
      <c r="B19" s="29">
        <v>2444.6888173390339</v>
      </c>
      <c r="C19" s="29"/>
      <c r="D19" s="29"/>
      <c r="E19" s="42"/>
      <c r="F19" s="42"/>
      <c r="G19" s="42"/>
      <c r="H19" s="31">
        <f t="shared" si="1"/>
        <v>2444.6888173390339</v>
      </c>
    </row>
    <row r="20" spans="1:8" x14ac:dyDescent="0.25">
      <c r="A20" s="15" t="s">
        <v>17</v>
      </c>
      <c r="B20" s="33">
        <v>1129.5767004531538</v>
      </c>
      <c r="C20" s="33">
        <v>65.726884160032412</v>
      </c>
      <c r="D20" s="33">
        <v>30.593826</v>
      </c>
      <c r="E20" s="33">
        <v>2814.8000013763999</v>
      </c>
      <c r="F20" s="33"/>
      <c r="G20" s="33"/>
      <c r="H20" s="34">
        <f t="shared" si="1"/>
        <v>4040.6974119895858</v>
      </c>
    </row>
    <row r="21" spans="1:8" x14ac:dyDescent="0.25">
      <c r="A21" s="15" t="s">
        <v>18</v>
      </c>
      <c r="B21" s="33">
        <v>26.582344000000003</v>
      </c>
      <c r="C21" s="33"/>
      <c r="D21" s="33"/>
      <c r="E21" s="30"/>
      <c r="F21" s="33"/>
      <c r="G21" s="43"/>
      <c r="H21" s="34">
        <f t="shared" si="1"/>
        <v>26.582344000000003</v>
      </c>
    </row>
    <row r="22" spans="1:8" x14ac:dyDescent="0.25">
      <c r="A22" s="15" t="s">
        <v>32</v>
      </c>
      <c r="B22" s="33">
        <v>31.623305999999999</v>
      </c>
      <c r="C22" s="33"/>
      <c r="D22" s="33"/>
      <c r="E22" s="30"/>
      <c r="F22" s="30"/>
      <c r="G22" s="30"/>
      <c r="H22" s="34">
        <f t="shared" si="1"/>
        <v>31.623305999999999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/>
      <c r="F24" s="33"/>
      <c r="G24" s="33"/>
      <c r="H24" s="34">
        <f t="shared" si="1"/>
        <v>0</v>
      </c>
    </row>
    <row r="25" spans="1:8" x14ac:dyDescent="0.25">
      <c r="A25" s="15" t="s">
        <v>34</v>
      </c>
      <c r="B25" s="33"/>
      <c r="C25" s="33"/>
      <c r="D25" s="33">
        <v>79.650755055000005</v>
      </c>
      <c r="E25" s="33"/>
      <c r="F25" s="33"/>
      <c r="G25" s="33">
        <v>14.5129930185</v>
      </c>
      <c r="H25" s="34">
        <f t="shared" si="1"/>
        <v>94.163748073500003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11.160855999999999</v>
      </c>
      <c r="C27" s="40">
        <f>SUM(C28:C36)</f>
        <v>3045.2303812560003</v>
      </c>
      <c r="D27" s="40">
        <f>SUM(D28:D36)</f>
        <v>842.79828320000001</v>
      </c>
      <c r="E27" s="45"/>
      <c r="F27" s="45"/>
      <c r="G27" s="46"/>
      <c r="H27" s="28">
        <f t="shared" si="1"/>
        <v>3899.1895204560005</v>
      </c>
    </row>
    <row r="28" spans="1:8" x14ac:dyDescent="0.25">
      <c r="A28" s="15" t="s">
        <v>19</v>
      </c>
      <c r="B28" s="42"/>
      <c r="C28" s="29">
        <v>1164.713799396</v>
      </c>
      <c r="D28" s="47"/>
      <c r="E28" s="30"/>
      <c r="F28" s="30"/>
      <c r="G28" s="30"/>
      <c r="H28" s="31">
        <f t="shared" si="1"/>
        <v>1164.713799396</v>
      </c>
    </row>
    <row r="29" spans="1:8" x14ac:dyDescent="0.25">
      <c r="A29" s="15" t="s">
        <v>20</v>
      </c>
      <c r="B29" s="30"/>
      <c r="C29" s="33">
        <v>1711.4344606240002</v>
      </c>
      <c r="D29" s="33">
        <v>378.61171637000001</v>
      </c>
      <c r="E29" s="30"/>
      <c r="F29" s="30"/>
      <c r="G29" s="30"/>
      <c r="H29" s="34">
        <f t="shared" si="1"/>
        <v>2090.0461769940002</v>
      </c>
    </row>
    <row r="30" spans="1:8" x14ac:dyDescent="0.25">
      <c r="A30" s="15" t="s">
        <v>21</v>
      </c>
      <c r="B30" s="30"/>
      <c r="C30" s="33">
        <v>125.19159996</v>
      </c>
      <c r="D30" s="48"/>
      <c r="E30" s="30"/>
      <c r="F30" s="30"/>
      <c r="G30" s="30"/>
      <c r="H30" s="34">
        <f t="shared" si="1"/>
        <v>125.19159996</v>
      </c>
    </row>
    <row r="31" spans="1:8" x14ac:dyDescent="0.25">
      <c r="A31" s="15" t="s">
        <v>22</v>
      </c>
      <c r="B31" s="49"/>
      <c r="C31" s="33"/>
      <c r="D31" s="33">
        <v>453.41713272000004</v>
      </c>
      <c r="E31" s="30"/>
      <c r="F31" s="30"/>
      <c r="G31" s="30"/>
      <c r="H31" s="34">
        <f t="shared" si="1"/>
        <v>453.41713272000004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43.890521276000001</v>
      </c>
      <c r="D33" s="33">
        <v>10.769434110000001</v>
      </c>
      <c r="E33" s="30"/>
      <c r="F33" s="30"/>
      <c r="G33" s="30"/>
      <c r="H33" s="34">
        <f t="shared" si="1"/>
        <v>54.659955386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9.3203659999999999</v>
      </c>
      <c r="C35" s="50"/>
      <c r="D35" s="50"/>
      <c r="E35" s="51"/>
      <c r="F35" s="51"/>
      <c r="G35" s="51"/>
      <c r="H35" s="52">
        <f t="shared" si="1"/>
        <v>9.3203659999999999</v>
      </c>
    </row>
    <row r="36" spans="1:8" ht="13" thickBot="1" x14ac:dyDescent="0.3">
      <c r="A36" s="16" t="s">
        <v>48</v>
      </c>
      <c r="B36" s="37">
        <v>1.84049</v>
      </c>
      <c r="C36" s="37"/>
      <c r="D36" s="37"/>
      <c r="E36" s="38"/>
      <c r="F36" s="38"/>
      <c r="G36" s="38"/>
      <c r="H36" s="39">
        <f t="shared" si="1"/>
        <v>1.84049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3.6798700000000002</v>
      </c>
      <c r="C47" s="40">
        <f>SUM(C48:C52)</f>
        <v>2465.8099727018102</v>
      </c>
      <c r="D47" s="40">
        <f>SUM(D48:D52)</f>
        <v>110.60616269000001</v>
      </c>
      <c r="E47" s="45"/>
      <c r="F47" s="45"/>
      <c r="G47" s="46"/>
      <c r="H47" s="53">
        <f t="shared" si="1"/>
        <v>2580.0960053918102</v>
      </c>
    </row>
    <row r="48" spans="1:8" x14ac:dyDescent="0.25">
      <c r="A48" s="15" t="s">
        <v>24</v>
      </c>
      <c r="B48" s="29"/>
      <c r="C48" s="29">
        <v>1476.1445176239999</v>
      </c>
      <c r="D48" s="29"/>
      <c r="E48" s="30"/>
      <c r="F48" s="30"/>
      <c r="G48" s="30"/>
      <c r="H48" s="31">
        <f t="shared" si="1"/>
        <v>1476.1445176239999</v>
      </c>
    </row>
    <row r="49" spans="1:8" x14ac:dyDescent="0.25">
      <c r="A49" s="15" t="s">
        <v>43</v>
      </c>
      <c r="B49" s="29"/>
      <c r="C49" s="29">
        <v>8.4177139200000006</v>
      </c>
      <c r="D49" s="29">
        <v>4.7800588700000004</v>
      </c>
      <c r="E49" s="30"/>
      <c r="F49" s="30"/>
      <c r="G49" s="30"/>
      <c r="H49" s="31">
        <f t="shared" si="1"/>
        <v>13.197772790000002</v>
      </c>
    </row>
    <row r="50" spans="1:8" x14ac:dyDescent="0.25">
      <c r="A50" s="15" t="s">
        <v>25</v>
      </c>
      <c r="B50" s="33">
        <v>3.6798700000000002</v>
      </c>
      <c r="C50" s="33">
        <v>14.044946342559999</v>
      </c>
      <c r="D50" s="33">
        <v>16.254068619999998</v>
      </c>
      <c r="E50" s="30"/>
      <c r="F50" s="30"/>
      <c r="G50" s="30"/>
      <c r="H50" s="34">
        <f t="shared" si="1"/>
        <v>33.978884962560002</v>
      </c>
    </row>
    <row r="51" spans="1:8" x14ac:dyDescent="0.25">
      <c r="A51" s="15" t="s">
        <v>42</v>
      </c>
      <c r="B51" s="30"/>
      <c r="C51" s="33">
        <v>937.68618884324997</v>
      </c>
      <c r="D51" s="33">
        <v>89.572035200000002</v>
      </c>
      <c r="E51" s="30"/>
      <c r="F51" s="30"/>
      <c r="G51" s="30"/>
      <c r="H51" s="34">
        <f t="shared" si="1"/>
        <v>1027.25822404325</v>
      </c>
    </row>
    <row r="52" spans="1:8" ht="13" thickBot="1" x14ac:dyDescent="0.3">
      <c r="A52" s="15" t="s">
        <v>44</v>
      </c>
      <c r="B52" s="33"/>
      <c r="C52" s="33">
        <v>29.516605971999997</v>
      </c>
      <c r="D52" s="33"/>
      <c r="E52" s="30"/>
      <c r="F52" s="30"/>
      <c r="G52" s="30"/>
      <c r="H52" s="34">
        <f t="shared" si="1"/>
        <v>29.516605971999997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>
    <pageSetUpPr fitToPage="1"/>
  </sheetPr>
  <dimension ref="A1:H53"/>
  <sheetViews>
    <sheetView workbookViewId="0">
      <selection activeCell="A7" sqref="A7:XFD7"/>
    </sheetView>
  </sheetViews>
  <sheetFormatPr baseColWidth="10" defaultColWidth="11.453125" defaultRowHeight="12.5" x14ac:dyDescent="0.25"/>
  <cols>
    <col min="1" max="1" width="41.7265625" style="24" customWidth="1"/>
    <col min="2" max="16384" width="11.453125" style="24"/>
  </cols>
  <sheetData>
    <row r="1" spans="1:8" ht="18" x14ac:dyDescent="0.45">
      <c r="A1" s="1" t="s">
        <v>26</v>
      </c>
      <c r="B1" s="2"/>
      <c r="C1" s="2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51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3" thickBot="1" x14ac:dyDescent="0.3">
      <c r="A6" s="13" t="s">
        <v>4</v>
      </c>
      <c r="B6" s="196" t="s">
        <v>45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30875.43684451107</v>
      </c>
      <c r="C7" s="203">
        <f t="shared" ref="C7:G7" si="0">SUM(C8,C18,C27,C37,C47,C53)</f>
        <v>5898.3205406909801</v>
      </c>
      <c r="D7" s="203">
        <f t="shared" si="0"/>
        <v>1213.4029986659496</v>
      </c>
      <c r="E7" s="203">
        <f t="shared" si="0"/>
        <v>1822.7999991071999</v>
      </c>
      <c r="F7" s="203">
        <f t="shared" si="0"/>
        <v>0</v>
      </c>
      <c r="G7" s="203">
        <f t="shared" si="0"/>
        <v>13.843826453</v>
      </c>
      <c r="H7" s="204">
        <f>SUM(B7:G7)</f>
        <v>39823.804209428199</v>
      </c>
    </row>
    <row r="8" spans="1:8" ht="13" thickTop="1" x14ac:dyDescent="0.25">
      <c r="A8" s="14" t="s">
        <v>5</v>
      </c>
      <c r="B8" s="25">
        <f>SUM(B9,B15)</f>
        <v>26720.942290223789</v>
      </c>
      <c r="C8" s="25">
        <f>SUM(C9,C15)</f>
        <v>370.40108946996111</v>
      </c>
      <c r="D8" s="25">
        <f>SUM(D9,D15)</f>
        <v>158.41871435094947</v>
      </c>
      <c r="E8" s="26"/>
      <c r="F8" s="26"/>
      <c r="G8" s="27"/>
      <c r="H8" s="28">
        <f t="shared" ref="H8:H53" si="1">SUM(B8:G8)</f>
        <v>27249.762094044698</v>
      </c>
    </row>
    <row r="9" spans="1:8" x14ac:dyDescent="0.25">
      <c r="A9" s="15" t="s">
        <v>6</v>
      </c>
      <c r="B9" s="29">
        <f>SUM(B10:B14)</f>
        <v>26636.457844795837</v>
      </c>
      <c r="C9" s="29">
        <f>SUM(C10:C14)</f>
        <v>256.28212299156564</v>
      </c>
      <c r="D9" s="29">
        <f>SUM(D10:D14)</f>
        <v>158.21417264179482</v>
      </c>
      <c r="E9" s="30"/>
      <c r="F9" s="30"/>
      <c r="G9" s="30"/>
      <c r="H9" s="31">
        <f t="shared" si="1"/>
        <v>27050.954140429196</v>
      </c>
    </row>
    <row r="10" spans="1:8" x14ac:dyDescent="0.25">
      <c r="A10" s="32" t="s">
        <v>7</v>
      </c>
      <c r="B10" s="33">
        <v>3760.2122594686589</v>
      </c>
      <c r="C10" s="33">
        <v>2.16957331199474</v>
      </c>
      <c r="D10" s="33">
        <v>12.832708982018822</v>
      </c>
      <c r="E10" s="30"/>
      <c r="F10" s="30"/>
      <c r="G10" s="30"/>
      <c r="H10" s="34">
        <f t="shared" si="1"/>
        <v>3775.2145417626721</v>
      </c>
    </row>
    <row r="11" spans="1:8" x14ac:dyDescent="0.25">
      <c r="A11" s="32" t="s">
        <v>8</v>
      </c>
      <c r="B11" s="33">
        <v>7950.5008697342473</v>
      </c>
      <c r="C11" s="33">
        <v>35.218740163704375</v>
      </c>
      <c r="D11" s="33">
        <v>35.10212041908904</v>
      </c>
      <c r="E11" s="30"/>
      <c r="F11" s="30"/>
      <c r="G11" s="30"/>
      <c r="H11" s="34">
        <f t="shared" si="1"/>
        <v>8020.8217303170413</v>
      </c>
    </row>
    <row r="12" spans="1:8" x14ac:dyDescent="0.25">
      <c r="A12" s="32" t="s">
        <v>9</v>
      </c>
      <c r="B12" s="33">
        <v>10933.269138592928</v>
      </c>
      <c r="C12" s="35">
        <v>101.92915353986653</v>
      </c>
      <c r="D12" s="33">
        <v>87.676325385686965</v>
      </c>
      <c r="E12" s="30"/>
      <c r="F12" s="30"/>
      <c r="G12" s="30"/>
      <c r="H12" s="34">
        <f t="shared" si="1"/>
        <v>11122.874617518481</v>
      </c>
    </row>
    <row r="13" spans="1:8" x14ac:dyDescent="0.25">
      <c r="A13" s="32" t="s">
        <v>10</v>
      </c>
      <c r="B13" s="33">
        <v>3950.6944509999998</v>
      </c>
      <c r="C13" s="33">
        <v>116.90354144</v>
      </c>
      <c r="D13" s="33">
        <v>22.301027034999997</v>
      </c>
      <c r="E13" s="30"/>
      <c r="F13" s="30"/>
      <c r="G13" s="30"/>
      <c r="H13" s="34">
        <f t="shared" si="1"/>
        <v>4089.8990194749999</v>
      </c>
    </row>
    <row r="14" spans="1:8" x14ac:dyDescent="0.25">
      <c r="A14" s="32" t="s">
        <v>11</v>
      </c>
      <c r="B14" s="33">
        <v>41.781126</v>
      </c>
      <c r="C14" s="33">
        <v>6.1114536000000004E-2</v>
      </c>
      <c r="D14" s="33">
        <v>0.30199081999999999</v>
      </c>
      <c r="E14" s="30"/>
      <c r="F14" s="30"/>
      <c r="G14" s="30"/>
      <c r="H14" s="34">
        <f t="shared" si="1"/>
        <v>42.144231355999999</v>
      </c>
    </row>
    <row r="15" spans="1:8" x14ac:dyDescent="0.25">
      <c r="A15" s="15" t="s">
        <v>12</v>
      </c>
      <c r="B15" s="33">
        <f>SUM(B16:B17)</f>
        <v>84.484445427951712</v>
      </c>
      <c r="C15" s="33">
        <f>SUM(C16:C17)</f>
        <v>114.11896647839549</v>
      </c>
      <c r="D15" s="33">
        <f>SUM(D16:D17)</f>
        <v>0.20454170915466</v>
      </c>
      <c r="E15" s="30"/>
      <c r="F15" s="30"/>
      <c r="G15" s="30"/>
      <c r="H15" s="34">
        <f t="shared" si="1"/>
        <v>198.80795361550187</v>
      </c>
    </row>
    <row r="16" spans="1:8" x14ac:dyDescent="0.25">
      <c r="A16" s="32" t="s">
        <v>13</v>
      </c>
      <c r="B16" s="33"/>
      <c r="C16" s="33">
        <v>32.300564659999999</v>
      </c>
      <c r="D16" s="33"/>
      <c r="E16" s="30"/>
      <c r="F16" s="30"/>
      <c r="G16" s="30"/>
      <c r="H16" s="34">
        <f t="shared" si="1"/>
        <v>32.300564659999999</v>
      </c>
    </row>
    <row r="17" spans="1:8" ht="13" thickBot="1" x14ac:dyDescent="0.3">
      <c r="A17" s="36" t="s">
        <v>14</v>
      </c>
      <c r="B17" s="37">
        <v>84.484445427951712</v>
      </c>
      <c r="C17" s="37">
        <v>81.8184018183955</v>
      </c>
      <c r="D17" s="37">
        <v>0.20454170915466</v>
      </c>
      <c r="E17" s="38"/>
      <c r="F17" s="38"/>
      <c r="G17" s="38"/>
      <c r="H17" s="39">
        <f t="shared" si="1"/>
        <v>166.50738895550185</v>
      </c>
    </row>
    <row r="18" spans="1:8" x14ac:dyDescent="0.25">
      <c r="A18" s="14" t="s">
        <v>15</v>
      </c>
      <c r="B18" s="40">
        <f t="shared" ref="B18:G18" si="2">SUM(B19:B26)</f>
        <v>4139.5646902872795</v>
      </c>
      <c r="C18" s="40">
        <f t="shared" si="2"/>
        <v>65.918050239999985</v>
      </c>
      <c r="D18" s="40">
        <f t="shared" si="2"/>
        <v>97.546047645000002</v>
      </c>
      <c r="E18" s="40">
        <f t="shared" si="2"/>
        <v>1822.7999991071999</v>
      </c>
      <c r="F18" s="40">
        <f t="shared" si="2"/>
        <v>0</v>
      </c>
      <c r="G18" s="41">
        <f t="shared" si="2"/>
        <v>13.843826453</v>
      </c>
      <c r="H18" s="28">
        <f t="shared" si="1"/>
        <v>6139.6726137324795</v>
      </c>
    </row>
    <row r="19" spans="1:8" x14ac:dyDescent="0.25">
      <c r="A19" s="15" t="s">
        <v>16</v>
      </c>
      <c r="B19" s="29">
        <v>2953.631551444907</v>
      </c>
      <c r="C19" s="29"/>
      <c r="D19" s="29"/>
      <c r="E19" s="42"/>
      <c r="F19" s="42"/>
      <c r="G19" s="42"/>
      <c r="H19" s="31">
        <f t="shared" si="1"/>
        <v>2953.631551444907</v>
      </c>
    </row>
    <row r="20" spans="1:8" x14ac:dyDescent="0.25">
      <c r="A20" s="15" t="s">
        <v>17</v>
      </c>
      <c r="B20" s="33">
        <v>1127.1691758423731</v>
      </c>
      <c r="C20" s="33">
        <v>65.918050239999985</v>
      </c>
      <c r="D20" s="33">
        <v>30.1464</v>
      </c>
      <c r="E20" s="33">
        <v>1822.7999991071999</v>
      </c>
      <c r="F20" s="33"/>
      <c r="G20" s="33"/>
      <c r="H20" s="34">
        <f t="shared" si="1"/>
        <v>3046.0336251895733</v>
      </c>
    </row>
    <row r="21" spans="1:8" x14ac:dyDescent="0.25">
      <c r="A21" s="15" t="s">
        <v>18</v>
      </c>
      <c r="B21" s="33">
        <v>26.748175</v>
      </c>
      <c r="C21" s="33"/>
      <c r="D21" s="33"/>
      <c r="E21" s="30"/>
      <c r="F21" s="33"/>
      <c r="G21" s="43"/>
      <c r="H21" s="34">
        <f t="shared" si="1"/>
        <v>26.748175</v>
      </c>
    </row>
    <row r="22" spans="1:8" x14ac:dyDescent="0.25">
      <c r="A22" s="15" t="s">
        <v>32</v>
      </c>
      <c r="B22" s="33">
        <v>32.015788000000001</v>
      </c>
      <c r="C22" s="33"/>
      <c r="D22" s="33"/>
      <c r="E22" s="30"/>
      <c r="F22" s="30"/>
      <c r="G22" s="30"/>
      <c r="H22" s="34">
        <f t="shared" si="1"/>
        <v>32.015788000000001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/>
      <c r="F24" s="33"/>
      <c r="G24" s="33"/>
      <c r="H24" s="34">
        <f t="shared" si="1"/>
        <v>0</v>
      </c>
    </row>
    <row r="25" spans="1:8" x14ac:dyDescent="0.25">
      <c r="A25" s="15" t="s">
        <v>34</v>
      </c>
      <c r="B25" s="33"/>
      <c r="C25" s="33"/>
      <c r="D25" s="33">
        <v>67.399647645000002</v>
      </c>
      <c r="E25" s="33"/>
      <c r="F25" s="33"/>
      <c r="G25" s="33">
        <v>13.843826453</v>
      </c>
      <c r="H25" s="34">
        <f t="shared" si="1"/>
        <v>81.243474098000007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13.136585</v>
      </c>
      <c r="C27" s="40">
        <f>SUM(C28:C36)</f>
        <v>3023.3345682680001</v>
      </c>
      <c r="D27" s="40">
        <f>SUM(D28:D36)</f>
        <v>838.85130218000006</v>
      </c>
      <c r="E27" s="45"/>
      <c r="F27" s="45"/>
      <c r="G27" s="46"/>
      <c r="H27" s="28">
        <f t="shared" si="1"/>
        <v>3875.3224554480003</v>
      </c>
    </row>
    <row r="28" spans="1:8" x14ac:dyDescent="0.25">
      <c r="A28" s="15" t="s">
        <v>19</v>
      </c>
      <c r="B28" s="42"/>
      <c r="C28" s="29">
        <v>1214.375507492</v>
      </c>
      <c r="D28" s="47"/>
      <c r="E28" s="30"/>
      <c r="F28" s="30"/>
      <c r="G28" s="30"/>
      <c r="H28" s="31">
        <f t="shared" si="1"/>
        <v>1214.375507492</v>
      </c>
    </row>
    <row r="29" spans="1:8" x14ac:dyDescent="0.25">
      <c r="A29" s="15" t="s">
        <v>20</v>
      </c>
      <c r="B29" s="30"/>
      <c r="C29" s="33">
        <v>1654.80248192</v>
      </c>
      <c r="D29" s="33">
        <v>366.68215678000001</v>
      </c>
      <c r="E29" s="30"/>
      <c r="F29" s="30"/>
      <c r="G29" s="30"/>
      <c r="H29" s="34">
        <f t="shared" si="1"/>
        <v>2021.4846387</v>
      </c>
    </row>
    <row r="30" spans="1:8" x14ac:dyDescent="0.25">
      <c r="A30" s="15" t="s">
        <v>21</v>
      </c>
      <c r="B30" s="30"/>
      <c r="C30" s="33">
        <v>114.01367927599999</v>
      </c>
      <c r="D30" s="48"/>
      <c r="E30" s="30"/>
      <c r="F30" s="30"/>
      <c r="G30" s="30"/>
      <c r="H30" s="34">
        <f t="shared" si="1"/>
        <v>114.01367927599999</v>
      </c>
    </row>
    <row r="31" spans="1:8" x14ac:dyDescent="0.25">
      <c r="A31" s="15" t="s">
        <v>22</v>
      </c>
      <c r="B31" s="49"/>
      <c r="C31" s="33"/>
      <c r="D31" s="33">
        <v>462.31926844500003</v>
      </c>
      <c r="E31" s="30"/>
      <c r="F31" s="30"/>
      <c r="G31" s="30"/>
      <c r="H31" s="34">
        <f t="shared" si="1"/>
        <v>462.31926844500003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40.142899580000005</v>
      </c>
      <c r="D33" s="33">
        <v>9.8498769549999992</v>
      </c>
      <c r="E33" s="30"/>
      <c r="F33" s="30"/>
      <c r="G33" s="30"/>
      <c r="H33" s="34">
        <f t="shared" si="1"/>
        <v>49.992776535000004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10.536440000000001</v>
      </c>
      <c r="C35" s="50"/>
      <c r="D35" s="50"/>
      <c r="E35" s="51"/>
      <c r="F35" s="51"/>
      <c r="G35" s="51"/>
      <c r="H35" s="52">
        <f t="shared" si="1"/>
        <v>10.536440000000001</v>
      </c>
    </row>
    <row r="36" spans="1:8" ht="13" thickBot="1" x14ac:dyDescent="0.3">
      <c r="A36" s="16" t="s">
        <v>48</v>
      </c>
      <c r="B36" s="37">
        <v>2.6001449999999999</v>
      </c>
      <c r="C36" s="37"/>
      <c r="D36" s="37"/>
      <c r="E36" s="38"/>
      <c r="F36" s="38"/>
      <c r="G36" s="38"/>
      <c r="H36" s="39">
        <f t="shared" si="1"/>
        <v>2.6001449999999999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1.7932790000000001</v>
      </c>
      <c r="C47" s="40">
        <f>SUM(C48:C52)</f>
        <v>2438.6668327130196</v>
      </c>
      <c r="D47" s="40">
        <f>SUM(D48:D52)</f>
        <v>118.58693449</v>
      </c>
      <c r="E47" s="45"/>
      <c r="F47" s="45"/>
      <c r="G47" s="46"/>
      <c r="H47" s="53">
        <f t="shared" si="1"/>
        <v>2559.0470462030198</v>
      </c>
    </row>
    <row r="48" spans="1:8" x14ac:dyDescent="0.25">
      <c r="A48" s="15" t="s">
        <v>24</v>
      </c>
      <c r="B48" s="29"/>
      <c r="C48" s="29">
        <v>1390.5741249679998</v>
      </c>
      <c r="D48" s="29"/>
      <c r="E48" s="30"/>
      <c r="F48" s="30"/>
      <c r="G48" s="30"/>
      <c r="H48" s="31">
        <f t="shared" si="1"/>
        <v>1390.5741249679998</v>
      </c>
    </row>
    <row r="49" spans="1:8" x14ac:dyDescent="0.25">
      <c r="A49" s="15" t="s">
        <v>43</v>
      </c>
      <c r="B49" s="29"/>
      <c r="C49" s="29">
        <v>24.034993920000002</v>
      </c>
      <c r="D49" s="29">
        <v>13.64844287</v>
      </c>
      <c r="E49" s="30"/>
      <c r="F49" s="30"/>
      <c r="G49" s="30"/>
      <c r="H49" s="31">
        <f t="shared" si="1"/>
        <v>37.683436790000002</v>
      </c>
    </row>
    <row r="50" spans="1:8" x14ac:dyDescent="0.25">
      <c r="A50" s="15" t="s">
        <v>25</v>
      </c>
      <c r="B50" s="33">
        <v>1.7932790000000001</v>
      </c>
      <c r="C50" s="33">
        <v>11.295813993519999</v>
      </c>
      <c r="D50" s="33">
        <v>11.716243069999999</v>
      </c>
      <c r="E50" s="30"/>
      <c r="F50" s="30"/>
      <c r="G50" s="30"/>
      <c r="H50" s="34">
        <f t="shared" si="1"/>
        <v>24.805336063519999</v>
      </c>
    </row>
    <row r="51" spans="1:8" x14ac:dyDescent="0.25">
      <c r="A51" s="15" t="s">
        <v>42</v>
      </c>
      <c r="B51" s="30"/>
      <c r="C51" s="33">
        <v>981.31309676750004</v>
      </c>
      <c r="D51" s="33">
        <v>93.222248550000003</v>
      </c>
      <c r="E51" s="30"/>
      <c r="F51" s="30"/>
      <c r="G51" s="30"/>
      <c r="H51" s="34">
        <f t="shared" si="1"/>
        <v>1074.5353453175001</v>
      </c>
    </row>
    <row r="52" spans="1:8" ht="13" thickBot="1" x14ac:dyDescent="0.3">
      <c r="A52" s="15" t="s">
        <v>44</v>
      </c>
      <c r="B52" s="33"/>
      <c r="C52" s="33">
        <v>31.448803063999996</v>
      </c>
      <c r="D52" s="33"/>
      <c r="E52" s="30"/>
      <c r="F52" s="30"/>
      <c r="G52" s="30"/>
      <c r="H52" s="34">
        <f t="shared" si="1"/>
        <v>31.448803063999996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>
    <pageSetUpPr fitToPage="1"/>
  </sheetPr>
  <dimension ref="A1:H53"/>
  <sheetViews>
    <sheetView topLeftCell="A7" workbookViewId="0">
      <selection activeCell="B38" sqref="B38:D45"/>
    </sheetView>
  </sheetViews>
  <sheetFormatPr baseColWidth="10" defaultRowHeight="12.5" x14ac:dyDescent="0.25"/>
  <cols>
    <col min="1" max="1" width="41.7265625" customWidth="1"/>
  </cols>
  <sheetData>
    <row r="1" spans="1:8" ht="18" x14ac:dyDescent="0.45">
      <c r="A1" s="1" t="s">
        <v>26</v>
      </c>
      <c r="B1" s="2"/>
      <c r="C1" s="58"/>
      <c r="D1" s="2"/>
      <c r="E1" s="2"/>
      <c r="F1" s="3"/>
      <c r="G1" s="3"/>
      <c r="H1" s="4" t="s">
        <v>49</v>
      </c>
    </row>
    <row r="2" spans="1:8" ht="15.5" x14ac:dyDescent="0.35">
      <c r="A2" s="5"/>
      <c r="B2" s="3"/>
      <c r="C2" s="3"/>
      <c r="D2" s="3"/>
      <c r="E2" s="3"/>
      <c r="F2" s="3"/>
      <c r="G2" s="3"/>
      <c r="H2" s="6" t="s">
        <v>50</v>
      </c>
    </row>
    <row r="3" spans="1:8" ht="15.5" x14ac:dyDescent="0.35">
      <c r="A3" s="2"/>
      <c r="B3" s="3"/>
      <c r="C3" s="3"/>
      <c r="D3" s="3"/>
      <c r="E3" s="3"/>
      <c r="F3" s="3"/>
      <c r="G3" s="3"/>
      <c r="H3" s="7"/>
    </row>
    <row r="4" spans="1:8" ht="16" thickBot="1" x14ac:dyDescent="0.4">
      <c r="A4" s="8"/>
      <c r="B4" s="3"/>
      <c r="C4" s="3"/>
      <c r="D4" s="3"/>
      <c r="E4" s="3"/>
      <c r="F4" s="3"/>
      <c r="G4" s="3"/>
      <c r="H4" s="9"/>
    </row>
    <row r="5" spans="1:8" ht="13.5" x14ac:dyDescent="0.25">
      <c r="A5" s="10" t="s">
        <v>0</v>
      </c>
      <c r="B5" s="11" t="s">
        <v>27</v>
      </c>
      <c r="C5" s="11" t="s">
        <v>28</v>
      </c>
      <c r="D5" s="11" t="s">
        <v>29</v>
      </c>
      <c r="E5" s="11" t="s">
        <v>1</v>
      </c>
      <c r="F5" s="11" t="s">
        <v>2</v>
      </c>
      <c r="G5" s="11" t="s">
        <v>30</v>
      </c>
      <c r="H5" s="12" t="s">
        <v>3</v>
      </c>
    </row>
    <row r="6" spans="1:8" ht="14" thickBot="1" x14ac:dyDescent="0.4">
      <c r="A6" s="13" t="s">
        <v>4</v>
      </c>
      <c r="B6" s="196" t="s">
        <v>31</v>
      </c>
      <c r="C6" s="196"/>
      <c r="D6" s="196"/>
      <c r="E6" s="196"/>
      <c r="F6" s="196"/>
      <c r="G6" s="196"/>
      <c r="H6" s="197"/>
    </row>
    <row r="7" spans="1:8" ht="24" thickTop="1" thickBot="1" x14ac:dyDescent="0.3">
      <c r="A7" s="113" t="s">
        <v>116</v>
      </c>
      <c r="B7" s="203">
        <f>SUM(B8,B18,B27,B37,B47,B53)</f>
        <v>29895.550771286449</v>
      </c>
      <c r="C7" s="203">
        <f t="shared" ref="C7:G7" si="0">SUM(C8,C18,C27,C37,C47,C53)</f>
        <v>6152.9641690582775</v>
      </c>
      <c r="D7" s="203">
        <f t="shared" si="0"/>
        <v>1206.2134996448083</v>
      </c>
      <c r="E7" s="203">
        <f t="shared" si="0"/>
        <v>1673.9999974704001</v>
      </c>
      <c r="F7" s="203">
        <f t="shared" si="0"/>
        <v>0</v>
      </c>
      <c r="G7" s="203">
        <f t="shared" si="0"/>
        <v>12.977473314500001</v>
      </c>
      <c r="H7" s="204">
        <f>SUM(B7:G7)</f>
        <v>38941.705910774435</v>
      </c>
    </row>
    <row r="8" spans="1:8" ht="13" thickTop="1" x14ac:dyDescent="0.25">
      <c r="A8" s="14" t="s">
        <v>5</v>
      </c>
      <c r="B8" s="25">
        <f>SUM(B9,B15)</f>
        <v>25410.00280544929</v>
      </c>
      <c r="C8" s="25">
        <f>SUM(C9,C15)</f>
        <v>358.25375110265804</v>
      </c>
      <c r="D8" s="25">
        <f>SUM(D9,D15)</f>
        <v>158.51288793480833</v>
      </c>
      <c r="E8" s="26"/>
      <c r="F8" s="26"/>
      <c r="G8" s="27"/>
      <c r="H8" s="28">
        <f t="shared" ref="H8:H53" si="1">SUM(B8:G8)</f>
        <v>25926.769444486756</v>
      </c>
    </row>
    <row r="9" spans="1:8" x14ac:dyDescent="0.25">
      <c r="A9" s="15" t="s">
        <v>6</v>
      </c>
      <c r="B9" s="29">
        <f>SUM(B10:B14)</f>
        <v>25341.568977498337</v>
      </c>
      <c r="C9" s="29">
        <f>SUM(C10:C14)</f>
        <v>247.13551777231558</v>
      </c>
      <c r="D9" s="29">
        <f>SUM(D10:D14)</f>
        <v>158.3696754427545</v>
      </c>
      <c r="E9" s="30"/>
      <c r="F9" s="30"/>
      <c r="G9" s="30"/>
      <c r="H9" s="31">
        <f t="shared" si="1"/>
        <v>25747.074170713408</v>
      </c>
    </row>
    <row r="10" spans="1:8" x14ac:dyDescent="0.25">
      <c r="A10" s="32" t="s">
        <v>7</v>
      </c>
      <c r="B10" s="33">
        <v>3953.000213569373</v>
      </c>
      <c r="C10" s="33">
        <v>2.2237551666231266</v>
      </c>
      <c r="D10" s="33">
        <v>13.02691672850991</v>
      </c>
      <c r="E10" s="30"/>
      <c r="F10" s="30"/>
      <c r="G10" s="30"/>
      <c r="H10" s="34">
        <f t="shared" si="1"/>
        <v>3968.2508854645062</v>
      </c>
    </row>
    <row r="11" spans="1:8" x14ac:dyDescent="0.25">
      <c r="A11" s="32" t="s">
        <v>8</v>
      </c>
      <c r="B11" s="33">
        <v>7562.146043863333</v>
      </c>
      <c r="C11" s="33">
        <v>32.846561901690848</v>
      </c>
      <c r="D11" s="33">
        <v>38.132614654142955</v>
      </c>
      <c r="E11" s="30"/>
      <c r="F11" s="30"/>
      <c r="G11" s="30"/>
      <c r="H11" s="34">
        <f t="shared" si="1"/>
        <v>7633.1252204191669</v>
      </c>
    </row>
    <row r="12" spans="1:8" x14ac:dyDescent="0.25">
      <c r="A12" s="32" t="s">
        <v>9</v>
      </c>
      <c r="B12" s="33">
        <v>10503.92944406563</v>
      </c>
      <c r="C12" s="35">
        <v>97.504976996001602</v>
      </c>
      <c r="D12" s="33">
        <v>85.70330480010162</v>
      </c>
      <c r="E12" s="30"/>
      <c r="F12" s="30"/>
      <c r="G12" s="30"/>
      <c r="H12" s="34">
        <f t="shared" si="1"/>
        <v>10687.137725861734</v>
      </c>
    </row>
    <row r="13" spans="1:8" x14ac:dyDescent="0.25">
      <c r="A13" s="32" t="s">
        <v>10</v>
      </c>
      <c r="B13" s="33">
        <v>3280.9690860000001</v>
      </c>
      <c r="C13" s="33">
        <v>114.49985374799999</v>
      </c>
      <c r="D13" s="33">
        <v>21.206089169999998</v>
      </c>
      <c r="E13" s="30"/>
      <c r="F13" s="30"/>
      <c r="G13" s="30"/>
      <c r="H13" s="34">
        <f t="shared" si="1"/>
        <v>3416.675028918</v>
      </c>
    </row>
    <row r="14" spans="1:8" x14ac:dyDescent="0.25">
      <c r="A14" s="32" t="s">
        <v>11</v>
      </c>
      <c r="B14" s="33">
        <v>41.524189999999997</v>
      </c>
      <c r="C14" s="33">
        <v>6.036996E-2</v>
      </c>
      <c r="D14" s="33">
        <v>0.30075008999999997</v>
      </c>
      <c r="E14" s="30"/>
      <c r="F14" s="30"/>
      <c r="G14" s="30"/>
      <c r="H14" s="34">
        <f t="shared" si="1"/>
        <v>41.885310050000001</v>
      </c>
    </row>
    <row r="15" spans="1:8" x14ac:dyDescent="0.25">
      <c r="A15" s="15" t="s">
        <v>12</v>
      </c>
      <c r="B15" s="33">
        <f>SUM(B16:B17)</f>
        <v>68.433827950952264</v>
      </c>
      <c r="C15" s="33">
        <f>SUM(C16:C17)</f>
        <v>111.11823333034243</v>
      </c>
      <c r="D15" s="33">
        <f>SUM(D16:D17)</f>
        <v>0.14321249205384601</v>
      </c>
      <c r="E15" s="30"/>
      <c r="F15" s="30"/>
      <c r="G15" s="30"/>
      <c r="H15" s="34">
        <f t="shared" si="1"/>
        <v>179.69527377334853</v>
      </c>
    </row>
    <row r="16" spans="1:8" x14ac:dyDescent="0.25">
      <c r="A16" s="32" t="s">
        <v>13</v>
      </c>
      <c r="B16" s="33"/>
      <c r="C16" s="33">
        <v>39.873404479999998</v>
      </c>
      <c r="D16" s="33"/>
      <c r="E16" s="30"/>
      <c r="F16" s="30"/>
      <c r="G16" s="30"/>
      <c r="H16" s="34">
        <f t="shared" si="1"/>
        <v>39.873404479999998</v>
      </c>
    </row>
    <row r="17" spans="1:8" ht="13" thickBot="1" x14ac:dyDescent="0.3">
      <c r="A17" s="36" t="s">
        <v>14</v>
      </c>
      <c r="B17" s="37">
        <v>68.433827950952264</v>
      </c>
      <c r="C17" s="37">
        <v>71.244828850342429</v>
      </c>
      <c r="D17" s="37">
        <v>0.14321249205384601</v>
      </c>
      <c r="E17" s="38"/>
      <c r="F17" s="38"/>
      <c r="G17" s="38"/>
      <c r="H17" s="39">
        <f t="shared" si="1"/>
        <v>139.82186929334853</v>
      </c>
    </row>
    <row r="18" spans="1:8" x14ac:dyDescent="0.25">
      <c r="A18" s="14" t="s">
        <v>15</v>
      </c>
      <c r="B18" s="40">
        <f t="shared" ref="B18:G18" si="2">SUM(B19:B26)</f>
        <v>4468.7859388371589</v>
      </c>
      <c r="C18" s="40">
        <f t="shared" si="2"/>
        <v>68.119807000000037</v>
      </c>
      <c r="D18" s="40">
        <f t="shared" si="2"/>
        <v>84.311099909999996</v>
      </c>
      <c r="E18" s="40">
        <f t="shared" si="2"/>
        <v>1673.9999974704001</v>
      </c>
      <c r="F18" s="40">
        <f t="shared" si="2"/>
        <v>0</v>
      </c>
      <c r="G18" s="41">
        <f t="shared" si="2"/>
        <v>12.977473314500001</v>
      </c>
      <c r="H18" s="28">
        <f t="shared" si="1"/>
        <v>6308.1943165320581</v>
      </c>
    </row>
    <row r="19" spans="1:8" x14ac:dyDescent="0.25">
      <c r="A19" s="15" t="s">
        <v>16</v>
      </c>
      <c r="B19" s="29">
        <v>3254.4996919578111</v>
      </c>
      <c r="C19" s="29"/>
      <c r="D19" s="29"/>
      <c r="E19" s="42"/>
      <c r="F19" s="42"/>
      <c r="G19" s="42"/>
      <c r="H19" s="31">
        <f t="shared" si="1"/>
        <v>3254.4996919578111</v>
      </c>
    </row>
    <row r="20" spans="1:8" x14ac:dyDescent="0.25">
      <c r="A20" s="15" t="s">
        <v>17</v>
      </c>
      <c r="B20" s="33">
        <v>1154.2112458793486</v>
      </c>
      <c r="C20" s="33">
        <v>68.119807000000037</v>
      </c>
      <c r="D20" s="33">
        <v>28.238399999999999</v>
      </c>
      <c r="E20" s="33">
        <v>1673.9999974704001</v>
      </c>
      <c r="F20" s="33"/>
      <c r="G20" s="33"/>
      <c r="H20" s="34">
        <f t="shared" si="1"/>
        <v>2924.5694503497489</v>
      </c>
    </row>
    <row r="21" spans="1:8" x14ac:dyDescent="0.25">
      <c r="A21" s="15" t="s">
        <v>18</v>
      </c>
      <c r="B21" s="33">
        <v>26.953714999999999</v>
      </c>
      <c r="C21" s="33"/>
      <c r="D21" s="33"/>
      <c r="E21" s="30"/>
      <c r="F21" s="33"/>
      <c r="G21" s="43"/>
      <c r="H21" s="34">
        <f t="shared" si="1"/>
        <v>26.953714999999999</v>
      </c>
    </row>
    <row r="22" spans="1:8" x14ac:dyDescent="0.25">
      <c r="A22" s="15" t="s">
        <v>32</v>
      </c>
      <c r="B22" s="33">
        <v>33.121285999999998</v>
      </c>
      <c r="C22" s="33"/>
      <c r="D22" s="33"/>
      <c r="E22" s="30"/>
      <c r="F22" s="30"/>
      <c r="G22" s="30"/>
      <c r="H22" s="34">
        <f t="shared" si="1"/>
        <v>33.121285999999998</v>
      </c>
    </row>
    <row r="23" spans="1:8" x14ac:dyDescent="0.25">
      <c r="A23" s="15" t="s">
        <v>33</v>
      </c>
      <c r="B23" s="30"/>
      <c r="C23" s="30"/>
      <c r="D23" s="30"/>
      <c r="E23" s="30"/>
      <c r="F23" s="30"/>
      <c r="G23" s="30"/>
      <c r="H23" s="31">
        <f t="shared" si="1"/>
        <v>0</v>
      </c>
    </row>
    <row r="24" spans="1:8" x14ac:dyDescent="0.25">
      <c r="A24" s="15" t="s">
        <v>36</v>
      </c>
      <c r="B24" s="30"/>
      <c r="C24" s="30"/>
      <c r="D24" s="33"/>
      <c r="E24" s="33"/>
      <c r="F24" s="33"/>
      <c r="G24" s="33"/>
      <c r="H24" s="34">
        <f t="shared" si="1"/>
        <v>0</v>
      </c>
    </row>
    <row r="25" spans="1:8" x14ac:dyDescent="0.25">
      <c r="A25" s="15" t="s">
        <v>34</v>
      </c>
      <c r="B25" s="33"/>
      <c r="C25" s="33"/>
      <c r="D25" s="33">
        <v>56.072699909999997</v>
      </c>
      <c r="E25" s="33"/>
      <c r="F25" s="33"/>
      <c r="G25" s="33">
        <v>12.977473314500001</v>
      </c>
      <c r="H25" s="34">
        <f t="shared" si="1"/>
        <v>69.0501732245</v>
      </c>
    </row>
    <row r="26" spans="1:8" ht="13" thickBot="1" x14ac:dyDescent="0.3">
      <c r="A26" s="16" t="s">
        <v>35</v>
      </c>
      <c r="B26" s="44"/>
      <c r="C26" s="30"/>
      <c r="D26" s="44"/>
      <c r="E26" s="30"/>
      <c r="F26" s="30"/>
      <c r="G26" s="30"/>
      <c r="H26" s="39">
        <f t="shared" si="1"/>
        <v>0</v>
      </c>
    </row>
    <row r="27" spans="1:8" x14ac:dyDescent="0.25">
      <c r="A27" s="18" t="s">
        <v>38</v>
      </c>
      <c r="B27" s="40">
        <f>SUM(B28:B36)</f>
        <v>14.550376</v>
      </c>
      <c r="C27" s="40">
        <f>SUM(C28:C36)</f>
        <v>3323.9095426040003</v>
      </c>
      <c r="D27" s="40">
        <f>SUM(D28:D36)</f>
        <v>834.69869679499993</v>
      </c>
      <c r="E27" s="45"/>
      <c r="F27" s="45"/>
      <c r="G27" s="46"/>
      <c r="H27" s="28">
        <f t="shared" si="1"/>
        <v>4173.1586153990002</v>
      </c>
    </row>
    <row r="28" spans="1:8" x14ac:dyDescent="0.25">
      <c r="A28" s="15" t="s">
        <v>19</v>
      </c>
      <c r="B28" s="42"/>
      <c r="C28" s="29">
        <v>1262.0336620359999</v>
      </c>
      <c r="D28" s="47"/>
      <c r="E28" s="30"/>
      <c r="F28" s="30"/>
      <c r="G28" s="30"/>
      <c r="H28" s="31">
        <f t="shared" si="1"/>
        <v>1262.0336620359999</v>
      </c>
    </row>
    <row r="29" spans="1:8" x14ac:dyDescent="0.25">
      <c r="A29" s="15" t="s">
        <v>20</v>
      </c>
      <c r="B29" s="30"/>
      <c r="C29" s="33">
        <v>1915.6752785240001</v>
      </c>
      <c r="D29" s="33">
        <v>362.64759432</v>
      </c>
      <c r="E29" s="30"/>
      <c r="F29" s="30"/>
      <c r="G29" s="30"/>
      <c r="H29" s="34">
        <f t="shared" si="1"/>
        <v>2278.3228728439999</v>
      </c>
    </row>
    <row r="30" spans="1:8" x14ac:dyDescent="0.25">
      <c r="A30" s="15" t="s">
        <v>21</v>
      </c>
      <c r="B30" s="30"/>
      <c r="C30" s="33">
        <v>111.26783500000001</v>
      </c>
      <c r="D30" s="48"/>
      <c r="E30" s="30"/>
      <c r="F30" s="30"/>
      <c r="G30" s="30"/>
      <c r="H30" s="34">
        <f t="shared" si="1"/>
        <v>111.26783500000001</v>
      </c>
    </row>
    <row r="31" spans="1:8" x14ac:dyDescent="0.25">
      <c r="A31" s="15" t="s">
        <v>22</v>
      </c>
      <c r="B31" s="49"/>
      <c r="C31" s="33"/>
      <c r="D31" s="33">
        <v>463.47963666499999</v>
      </c>
      <c r="E31" s="30"/>
      <c r="F31" s="30"/>
      <c r="G31" s="30"/>
      <c r="H31" s="34">
        <f t="shared" si="1"/>
        <v>463.47963666499999</v>
      </c>
    </row>
    <row r="32" spans="1:8" x14ac:dyDescent="0.25">
      <c r="A32" s="15" t="s">
        <v>37</v>
      </c>
      <c r="B32" s="30"/>
      <c r="C32" s="33"/>
      <c r="D32" s="33"/>
      <c r="E32" s="30"/>
      <c r="F32" s="30"/>
      <c r="G32" s="30"/>
      <c r="H32" s="34">
        <f t="shared" si="1"/>
        <v>0</v>
      </c>
    </row>
    <row r="33" spans="1:8" x14ac:dyDescent="0.25">
      <c r="A33" s="15" t="s">
        <v>23</v>
      </c>
      <c r="B33" s="30"/>
      <c r="C33" s="33">
        <v>34.932767044000002</v>
      </c>
      <c r="D33" s="33">
        <v>8.5714658099999994</v>
      </c>
      <c r="E33" s="30"/>
      <c r="F33" s="30"/>
      <c r="G33" s="30"/>
      <c r="H33" s="34">
        <f t="shared" si="1"/>
        <v>43.504232854000001</v>
      </c>
    </row>
    <row r="34" spans="1:8" x14ac:dyDescent="0.25">
      <c r="A34" s="19" t="s">
        <v>46</v>
      </c>
      <c r="B34" s="50"/>
      <c r="C34" s="50"/>
      <c r="D34" s="50"/>
      <c r="E34" s="51"/>
      <c r="F34" s="51"/>
      <c r="G34" s="51"/>
      <c r="H34" s="52">
        <f t="shared" si="1"/>
        <v>0</v>
      </c>
    </row>
    <row r="35" spans="1:8" x14ac:dyDescent="0.25">
      <c r="A35" s="19" t="s">
        <v>47</v>
      </c>
      <c r="B35" s="50">
        <v>12.370462</v>
      </c>
      <c r="C35" s="50"/>
      <c r="D35" s="50"/>
      <c r="E35" s="51"/>
      <c r="F35" s="51"/>
      <c r="G35" s="51"/>
      <c r="H35" s="52">
        <f t="shared" si="1"/>
        <v>12.370462</v>
      </c>
    </row>
    <row r="36" spans="1:8" ht="13" thickBot="1" x14ac:dyDescent="0.3">
      <c r="A36" s="16" t="s">
        <v>48</v>
      </c>
      <c r="B36" s="37">
        <v>2.1799140000000001</v>
      </c>
      <c r="C36" s="37"/>
      <c r="D36" s="37"/>
      <c r="E36" s="38"/>
      <c r="F36" s="38"/>
      <c r="G36" s="38"/>
      <c r="H36" s="39">
        <f t="shared" si="1"/>
        <v>2.1799140000000001</v>
      </c>
    </row>
    <row r="37" spans="1:8" x14ac:dyDescent="0.25">
      <c r="A37" s="18" t="s">
        <v>39</v>
      </c>
      <c r="B37" s="40">
        <f>SUM(B38:B46)</f>
        <v>0</v>
      </c>
      <c r="C37" s="40">
        <f>SUM(C38:C46)</f>
        <v>0</v>
      </c>
      <c r="D37" s="40">
        <f>SUM(D38:D46)</f>
        <v>0</v>
      </c>
      <c r="E37" s="45"/>
      <c r="F37" s="45"/>
      <c r="G37" s="46"/>
      <c r="H37" s="28">
        <f t="shared" ref="H37:H46" si="3">SUM(B37:G37)</f>
        <v>0</v>
      </c>
    </row>
    <row r="38" spans="1:8" x14ac:dyDescent="0.25">
      <c r="A38" s="15" t="s">
        <v>99</v>
      </c>
      <c r="B38" s="33"/>
      <c r="C38" s="33"/>
      <c r="D38" s="33"/>
      <c r="E38" s="30"/>
      <c r="F38" s="30"/>
      <c r="G38" s="30"/>
      <c r="H38" s="31">
        <f t="shared" si="3"/>
        <v>0</v>
      </c>
    </row>
    <row r="39" spans="1:8" x14ac:dyDescent="0.25">
      <c r="A39" s="15" t="s">
        <v>100</v>
      </c>
      <c r="B39" s="33"/>
      <c r="C39" s="33"/>
      <c r="D39" s="33"/>
      <c r="E39" s="30"/>
      <c r="F39" s="30"/>
      <c r="G39" s="30"/>
      <c r="H39" s="34">
        <f t="shared" si="3"/>
        <v>0</v>
      </c>
    </row>
    <row r="40" spans="1:8" x14ac:dyDescent="0.25">
      <c r="A40" s="15" t="s">
        <v>101</v>
      </c>
      <c r="B40" s="33"/>
      <c r="C40" s="33"/>
      <c r="D40" s="33"/>
      <c r="E40" s="30"/>
      <c r="F40" s="30"/>
      <c r="G40" s="30"/>
      <c r="H40" s="34">
        <f t="shared" si="3"/>
        <v>0</v>
      </c>
    </row>
    <row r="41" spans="1:8" x14ac:dyDescent="0.25">
      <c r="A41" s="15" t="s">
        <v>102</v>
      </c>
      <c r="B41" s="33"/>
      <c r="C41" s="33"/>
      <c r="D41" s="33"/>
      <c r="E41" s="30"/>
      <c r="F41" s="30"/>
      <c r="G41" s="30"/>
      <c r="H41" s="34">
        <f t="shared" si="3"/>
        <v>0</v>
      </c>
    </row>
    <row r="42" spans="1:8" x14ac:dyDescent="0.25">
      <c r="A42" s="15" t="s">
        <v>103</v>
      </c>
      <c r="B42" s="33"/>
      <c r="C42" s="33"/>
      <c r="D42" s="33"/>
      <c r="E42" s="30"/>
      <c r="F42" s="30"/>
      <c r="G42" s="30"/>
      <c r="H42" s="34">
        <f t="shared" si="3"/>
        <v>0</v>
      </c>
    </row>
    <row r="43" spans="1:8" x14ac:dyDescent="0.25">
      <c r="A43" s="15" t="s">
        <v>104</v>
      </c>
      <c r="B43" s="33"/>
      <c r="C43" s="33"/>
      <c r="D43" s="33"/>
      <c r="E43" s="30"/>
      <c r="F43" s="30"/>
      <c r="G43" s="30"/>
      <c r="H43" s="34">
        <f t="shared" si="3"/>
        <v>0</v>
      </c>
    </row>
    <row r="44" spans="1:8" x14ac:dyDescent="0.25">
      <c r="A44" s="19" t="s">
        <v>105</v>
      </c>
      <c r="B44" s="50"/>
      <c r="C44" s="50"/>
      <c r="D44" s="50"/>
      <c r="E44" s="51"/>
      <c r="F44" s="51"/>
      <c r="G44" s="51"/>
      <c r="H44" s="52">
        <f t="shared" si="3"/>
        <v>0</v>
      </c>
    </row>
    <row r="45" spans="1:8" x14ac:dyDescent="0.25">
      <c r="A45" s="19" t="s">
        <v>106</v>
      </c>
      <c r="B45" s="50"/>
      <c r="C45" s="50"/>
      <c r="D45" s="50"/>
      <c r="E45" s="51"/>
      <c r="F45" s="51"/>
      <c r="G45" s="51"/>
      <c r="H45" s="52">
        <f t="shared" si="3"/>
        <v>0</v>
      </c>
    </row>
    <row r="46" spans="1:8" ht="13" thickBot="1" x14ac:dyDescent="0.3">
      <c r="A46" s="16" t="s">
        <v>107</v>
      </c>
      <c r="B46" s="37"/>
      <c r="C46" s="37"/>
      <c r="D46" s="37"/>
      <c r="E46" s="38"/>
      <c r="F46" s="38"/>
      <c r="G46" s="38"/>
      <c r="H46" s="39">
        <f t="shared" si="3"/>
        <v>0</v>
      </c>
    </row>
    <row r="47" spans="1:8" x14ac:dyDescent="0.25">
      <c r="A47" s="14" t="s">
        <v>40</v>
      </c>
      <c r="B47" s="40">
        <f>SUM(B48:B52)</f>
        <v>2.2116510000000003</v>
      </c>
      <c r="C47" s="40">
        <f>SUM(C48:C52)</f>
        <v>2402.6810683516196</v>
      </c>
      <c r="D47" s="40">
        <f>SUM(D48:D52)</f>
        <v>128.69081500500002</v>
      </c>
      <c r="E47" s="45"/>
      <c r="F47" s="45"/>
      <c r="G47" s="46"/>
      <c r="H47" s="53">
        <f t="shared" si="1"/>
        <v>2533.5835343566196</v>
      </c>
    </row>
    <row r="48" spans="1:8" x14ac:dyDescent="0.25">
      <c r="A48" s="15" t="s">
        <v>24</v>
      </c>
      <c r="B48" s="29"/>
      <c r="C48" s="29">
        <v>1309.8744735999999</v>
      </c>
      <c r="D48" s="29"/>
      <c r="E48" s="30"/>
      <c r="F48" s="30"/>
      <c r="G48" s="30"/>
      <c r="H48" s="31">
        <f t="shared" si="1"/>
        <v>1309.8744735999999</v>
      </c>
    </row>
    <row r="49" spans="1:8" x14ac:dyDescent="0.25">
      <c r="A49" s="15" t="s">
        <v>43</v>
      </c>
      <c r="B49" s="29"/>
      <c r="C49" s="29">
        <v>27.679025920000001</v>
      </c>
      <c r="D49" s="29">
        <v>15.71773247</v>
      </c>
      <c r="E49" s="30"/>
      <c r="F49" s="30"/>
      <c r="G49" s="30"/>
      <c r="H49" s="31">
        <f t="shared" si="1"/>
        <v>43.396758390000002</v>
      </c>
    </row>
    <row r="50" spans="1:8" x14ac:dyDescent="0.25">
      <c r="A50" s="15" t="s">
        <v>25</v>
      </c>
      <c r="B50" s="33">
        <v>2.2116510000000003</v>
      </c>
      <c r="C50" s="33">
        <v>10.195170595119999</v>
      </c>
      <c r="D50" s="33">
        <v>11.153298535000001</v>
      </c>
      <c r="E50" s="30"/>
      <c r="F50" s="30"/>
      <c r="G50" s="30"/>
      <c r="H50" s="34">
        <f t="shared" si="1"/>
        <v>23.560120130119998</v>
      </c>
    </row>
    <row r="51" spans="1:8" x14ac:dyDescent="0.25">
      <c r="A51" s="15" t="s">
        <v>42</v>
      </c>
      <c r="B51" s="30"/>
      <c r="C51" s="33">
        <v>1022.0582373365</v>
      </c>
      <c r="D51" s="33">
        <v>101.81978400000001</v>
      </c>
      <c r="E51" s="30"/>
      <c r="F51" s="30"/>
      <c r="G51" s="30"/>
      <c r="H51" s="34">
        <f t="shared" si="1"/>
        <v>1123.8780213365001</v>
      </c>
    </row>
    <row r="52" spans="1:8" ht="13" thickBot="1" x14ac:dyDescent="0.3">
      <c r="A52" s="15" t="s">
        <v>44</v>
      </c>
      <c r="B52" s="33"/>
      <c r="C52" s="33">
        <v>32.8741609</v>
      </c>
      <c r="D52" s="33"/>
      <c r="E52" s="30"/>
      <c r="F52" s="30"/>
      <c r="G52" s="30"/>
      <c r="H52" s="34">
        <f t="shared" si="1"/>
        <v>32.8741609</v>
      </c>
    </row>
    <row r="53" spans="1:8" ht="13" thickBot="1" x14ac:dyDescent="0.3">
      <c r="A53" s="17" t="s">
        <v>41</v>
      </c>
      <c r="B53" s="54"/>
      <c r="C53" s="54"/>
      <c r="D53" s="54"/>
      <c r="E53" s="54"/>
      <c r="F53" s="54"/>
      <c r="G53" s="55"/>
      <c r="H53" s="56">
        <f t="shared" si="1"/>
        <v>0</v>
      </c>
    </row>
  </sheetData>
  <mergeCells count="1">
    <mergeCell ref="B6:H6"/>
  </mergeCells>
  <phoneticPr fontId="0" type="noConversion"/>
  <pageMargins left="0.74803149606299213" right="0.74803149606299213" top="0.98425196850393704" bottom="0.98425196850393704" header="0" footer="0"/>
  <pageSetup paperSize="9" scale="65" orientation="landscape" r:id="rId1"/>
  <headerFooter alignWithMargins="0">
    <oddHeader>&amp;C&amp;"Garamond,Normal"&amp;14INVENTARIO NACIONAL DE EMISIONES DE GASES DE EFECTO INVERNADERO Y CONTAMINANTES A LA ATMÓSFERA</oddHeader>
    <oddFooter>&amp;L&amp;"Garamond,Normal"Fuente: Subdirección General de Aire Limpio y Sostenibilidad Industrial.
Ministerio para la Transición Ecológica y el Reto Demográfico&amp;CSerie 1990-2020&amp;RActualizado a 14/03/2022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34</vt:i4>
      </vt:variant>
      <vt:variant>
        <vt:lpstr>Rangos con nombre</vt:lpstr>
      </vt:variant>
      <vt:variant>
        <vt:i4>1</vt:i4>
      </vt:variant>
    </vt:vector>
  </HeadingPairs>
  <TitlesOfParts>
    <vt:vector size="35" baseType="lpstr">
      <vt:lpstr>Evolució Emissions 1990-2021</vt:lpstr>
      <vt:lpstr>Catalunya Sèrie 1990_2021</vt:lpstr>
      <vt:lpstr>Catalunya 2021</vt:lpstr>
      <vt:lpstr>Catalunya 2020</vt:lpstr>
      <vt:lpstr>Catalunya 2019</vt:lpstr>
      <vt:lpstr>Catalunya 2018</vt:lpstr>
      <vt:lpstr>Catalunya 2017</vt:lpstr>
      <vt:lpstr>Catalunya 2016</vt:lpstr>
      <vt:lpstr>Catalunya 2015</vt:lpstr>
      <vt:lpstr>Catalunya 2014</vt:lpstr>
      <vt:lpstr>Catalunya 2013</vt:lpstr>
      <vt:lpstr>Catalunya 2012</vt:lpstr>
      <vt:lpstr>Catalunya 2011</vt:lpstr>
      <vt:lpstr>Catalunya 2010</vt:lpstr>
      <vt:lpstr>Catalunya 2009</vt:lpstr>
      <vt:lpstr>Catalunya 2008</vt:lpstr>
      <vt:lpstr>Catalunya 2007</vt:lpstr>
      <vt:lpstr>Catalunya 2006</vt:lpstr>
      <vt:lpstr>Catalunya 2005</vt:lpstr>
      <vt:lpstr>Catalunya 2004</vt:lpstr>
      <vt:lpstr>Catalunya 2003</vt:lpstr>
      <vt:lpstr>Catalunya 2002</vt:lpstr>
      <vt:lpstr>Catalunya 2001</vt:lpstr>
      <vt:lpstr>Catalunya 2000</vt:lpstr>
      <vt:lpstr>Catalunya 1999</vt:lpstr>
      <vt:lpstr>Catalunya 1998</vt:lpstr>
      <vt:lpstr>Catalunya 1997</vt:lpstr>
      <vt:lpstr>Catalunya 1996</vt:lpstr>
      <vt:lpstr>Catalunya 1995</vt:lpstr>
      <vt:lpstr>Catalunya 1994</vt:lpstr>
      <vt:lpstr>Catalunya 1993</vt:lpstr>
      <vt:lpstr>Catalunya 1992</vt:lpstr>
      <vt:lpstr>Catalunya 1991</vt:lpstr>
      <vt:lpstr>Catalunya 1990</vt:lpstr>
      <vt:lpstr>'Evolució Emissions 1990-2021'!Área_de_impresión</vt:lpstr>
    </vt:vector>
  </TitlesOfParts>
  <Company>AED,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Roman Checa, Sheila</cp:lastModifiedBy>
  <cp:lastPrinted>2022-03-21T11:43:09Z</cp:lastPrinted>
  <dcterms:created xsi:type="dcterms:W3CDTF">2014-05-26T11:58:13Z</dcterms:created>
  <dcterms:modified xsi:type="dcterms:W3CDTF">2023-06-12T09:00:13Z</dcterms:modified>
</cp:coreProperties>
</file>